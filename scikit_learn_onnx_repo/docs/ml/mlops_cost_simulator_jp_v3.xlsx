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コスト発生理由" sheetId="2" state="visible" r:id="rId2"/>
    <sheet xmlns:r="http://schemas.openxmlformats.org/officeDocument/2006/relationships" name="単価" sheetId="3" state="visible" r:id="rId3"/>
    <sheet xmlns:r="http://schemas.openxmlformats.org/officeDocument/2006/relationships" name="入力" sheetId="4" state="visible" r:id="rId4"/>
    <sheet xmlns:r="http://schemas.openxmlformats.org/officeDocument/2006/relationships" name="ガイド" sheetId="5" state="visible" r:id="rId5"/>
    <sheet xmlns:r="http://schemas.openxmlformats.org/officeDocument/2006/relationships" name="詳細_再学習" sheetId="6" state="visible" r:id="rId6"/>
    <sheet xmlns:r="http://schemas.openxmlformats.org/officeDocument/2006/relationships" name="詳細_監視" sheetId="7" state="visible" r:id="rId7"/>
    <sheet xmlns:r="http://schemas.openxmlformats.org/officeDocument/2006/relationships" name="詳細_トリガー" sheetId="8" state="visible" r:id="rId8"/>
    <sheet xmlns:r="http://schemas.openxmlformats.org/officeDocument/2006/relationships" name="詳細_モデル管理" sheetId="9" state="visible" r:id="rId9"/>
    <sheet xmlns:r="http://schemas.openxmlformats.org/officeDocument/2006/relationships" name="詳細_推論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0.00"/>
    <numFmt numFmtId="165" formatCode="$0.000"/>
    <numFmt numFmtId="166" formatCode="$0.00000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color rgb="000000FF"/>
    </font>
    <font>
      <b val="1"/>
      <sz val="13"/>
    </font>
    <font>
      <color rgb="00000000"/>
    </font>
    <font>
      <sz val="11"/>
    </font>
    <font>
      <name val="Calibri"/>
      <family val="2"/>
      <color theme="10"/>
      <sz val="12"/>
      <scheme val="minor"/>
    </font>
    <font>
      <color rgb="FF1F4E79"/>
    </font>
    <font>
      <color rgb="FF0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2">
    <xf numFmtId="0" fontId="0" fillId="0" borderId="0"/>
    <xf numFmtId="0" fontId="8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pivotButton="0" quotePrefix="0" xfId="0"/>
    <xf numFmtId="166" fontId="0" fillId="0" borderId="1" pivotButton="0" quotePrefix="0" xfId="0"/>
    <xf numFmtId="0" fontId="3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8" fillId="0" borderId="2" applyAlignment="1" pivotButton="0" quotePrefix="0" xfId="1">
      <alignment vertical="top" wrapText="1"/>
    </xf>
    <xf numFmtId="0" fontId="7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ws.amazon.com/sagemaker/ai/pricing/" TargetMode="External" Id="rId1"/><Relationship Type="http://schemas.openxmlformats.org/officeDocument/2006/relationships/hyperlink" Target="https://aws.amazon.com/sagemaker/ai/pricing/" TargetMode="External" Id="rId2"/><Relationship Type="http://schemas.openxmlformats.org/officeDocument/2006/relationships/hyperlink" Target="https://aws.amazon.com/sagemaker/ai/pricing/" TargetMode="External" Id="rId3"/><Relationship Type="http://schemas.openxmlformats.org/officeDocument/2006/relationships/hyperlink" Target="https://aws.amazon.com/sagemaker/ai/pricing/" TargetMode="External" Id="rId4"/><Relationship Type="http://schemas.openxmlformats.org/officeDocument/2006/relationships/hyperlink" Target="https://docs.aws.amazon.com/sagemaker/latest/dg/serverless-endpoints.html" TargetMode="External" Id="rId5"/><Relationship Type="http://schemas.openxmlformats.org/officeDocument/2006/relationships/hyperlink" Target="https://aws.amazon.com/sagemaker/ai/pricing/" TargetMode="External" Id="rId6"/><Relationship Type="http://schemas.openxmlformats.org/officeDocument/2006/relationships/hyperlink" Target="https://aws.amazon.com/sagemaker/ai/pricing/" TargetMode="External" Id="rId7"/><Relationship Type="http://schemas.openxmlformats.org/officeDocument/2006/relationships/hyperlink" Target="https://aws.amazon.com/eventbridge/pricing/" TargetMode="External" Id="rId8"/><Relationship Type="http://schemas.openxmlformats.org/officeDocument/2006/relationships/hyperlink" Target="https://aws.amazon.com/s3/pricing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SageMaker MLOps コスト試算シミュレータ — サマリー</t>
        </is>
      </c>
    </row>
    <row r="2">
      <c r="A2" s="2" t="inlineStr">
        <is>
          <t>「入力」シートで前提を変更してください。本サマリーはA/B/Cの内訳と比較を表示します。</t>
        </is>
      </c>
      <c r="B2" s="3" t="n"/>
      <c r="C2" s="3" t="n"/>
      <c r="D2" s="3" t="n"/>
      <c r="E2" s="3" t="n"/>
    </row>
    <row r="4">
      <c r="A4" s="4" t="inlineStr">
        <is>
          <t>リージョン（固定）</t>
        </is>
      </c>
      <c r="B4" s="5">
        <f>入力!B5</f>
        <v/>
      </c>
    </row>
    <row r="5">
      <c r="A5" s="4" t="inlineStr">
        <is>
          <t>ユーザー数（U）</t>
        </is>
      </c>
      <c r="B5" s="19">
        <f>入力!B7</f>
        <v/>
      </c>
    </row>
    <row r="6">
      <c r="A6" t="inlineStr">
        <is>
          <t>月間推論リクエスト数（合計）</t>
        </is>
      </c>
      <c r="B6">
        <f>入力!B53+入力!B54</f>
        <v/>
      </c>
    </row>
    <row r="7">
      <c r="A7" s="7" t="inlineStr">
        <is>
          <t>コンポーネント</t>
        </is>
      </c>
      <c r="B7" s="7" t="inlineStr">
        <is>
          <t>A（個人）</t>
        </is>
      </c>
      <c r="C7" s="7" t="inlineStr">
        <is>
          <t>B（グループ）</t>
        </is>
      </c>
      <c r="D7" s="7" t="inlineStr">
        <is>
          <t>C（共通）</t>
        </is>
      </c>
      <c r="E7" s="7" t="n"/>
    </row>
    <row r="8">
      <c r="A8" s="8" t="inlineStr">
        <is>
          <t>再学習パイプライン</t>
        </is>
      </c>
      <c r="B8" s="19">
        <f>詳細_再学習!B14</f>
        <v/>
      </c>
      <c r="C8" s="19">
        <f>詳細_再学習!C14</f>
        <v/>
      </c>
      <c r="D8" s="19">
        <f>詳細_再学習!D14</f>
        <v/>
      </c>
      <c r="E8" s="19" t="n"/>
    </row>
    <row r="9">
      <c r="A9" s="8" t="inlineStr">
        <is>
          <t>ドリフト監視</t>
        </is>
      </c>
      <c r="B9" s="19">
        <f>詳細_監視!B10</f>
        <v/>
      </c>
      <c r="C9" s="19">
        <f>詳細_監視!C10</f>
        <v/>
      </c>
      <c r="D9" s="19">
        <f>詳細_監視!D10</f>
        <v/>
      </c>
      <c r="E9" s="19" t="n"/>
    </row>
    <row r="10">
      <c r="A10" s="8" t="inlineStr">
        <is>
          <t>再学習トリガー</t>
        </is>
      </c>
      <c r="B10" s="19">
        <f>詳細_トリガー!B6</f>
        <v/>
      </c>
      <c r="C10" s="19">
        <f>詳細_トリガー!C6</f>
        <v/>
      </c>
      <c r="D10" s="19">
        <f>詳細_トリガー!D6</f>
        <v/>
      </c>
      <c r="E10" s="19" t="n"/>
    </row>
    <row r="11">
      <c r="A11" s="8" t="inlineStr">
        <is>
          <t>モデル成果物保管（S3）</t>
        </is>
      </c>
      <c r="B11" s="19">
        <f>詳細_モデル管理!B7</f>
        <v/>
      </c>
      <c r="C11" s="19">
        <f>詳細_モデル管理!C7</f>
        <v/>
      </c>
      <c r="D11" s="19">
        <f>詳細_モデル管理!D7</f>
        <v/>
      </c>
      <c r="E11" s="19" t="n"/>
    </row>
    <row r="12">
      <c r="A12" s="8" t="inlineStr">
        <is>
          <t>推論</t>
        </is>
      </c>
      <c r="B12" s="19">
        <f>詳細_推論!B23</f>
        <v/>
      </c>
      <c r="C12" s="19">
        <f>詳細_推論!C23</f>
        <v/>
      </c>
      <c r="D12" s="19">
        <f>詳細_推論!D23</f>
        <v/>
      </c>
      <c r="E12" s="19" t="n"/>
    </row>
    <row r="13">
      <c r="A13" s="8" t="inlineStr">
        <is>
          <t>合計</t>
        </is>
      </c>
      <c r="B13" s="19">
        <f>SUM(B8:B12)</f>
        <v/>
      </c>
      <c r="C13" s="19">
        <f>SUM(C8:C12)</f>
        <v/>
      </c>
      <c r="D13" s="19">
        <f>SUM(D8:D12)</f>
        <v/>
      </c>
      <c r="E13" s="1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52" customWidth="1" min="4" max="4"/>
    <col width="32" customWidth="1" min="5" max="5"/>
    <col width="40" customWidth="1" min="6" max="6"/>
  </cols>
  <sheetData>
    <row r="1">
      <c r="A1" s="17" t="inlineStr">
        <is>
          <t>AWSサービス別：コストが発生する理由（参照リンク付き）</t>
        </is>
      </c>
    </row>
    <row r="3">
      <c r="A3" s="18" t="inlineStr">
        <is>
          <t>※本ブックの各コンポーネント（再学習・監視・推論・トリガー・モデル保管）で、どのAWSサービスに何の費用が発生するかを整理しています。</t>
        </is>
      </c>
    </row>
    <row r="5">
      <c r="A5" s="22" t="inlineStr">
        <is>
          <t>コンポーネント</t>
        </is>
      </c>
      <c r="B5" s="22" t="inlineStr">
        <is>
          <t>AWSサービス</t>
        </is>
      </c>
      <c r="C5" s="22" t="inlineStr">
        <is>
          <t>課金単位（支配要因）</t>
        </is>
      </c>
      <c r="D5" s="22" t="inlineStr">
        <is>
          <t>なぜコストが発生するか（理由）</t>
        </is>
      </c>
      <c r="E5" s="22" t="inlineStr">
        <is>
          <t>本ブックで参照する入力セル例</t>
        </is>
      </c>
      <c r="F5" s="22" t="inlineStr">
        <is>
          <t>公式リンク</t>
        </is>
      </c>
    </row>
    <row r="6">
      <c r="A6" s="23" t="inlineStr">
        <is>
          <t>再学習（前処理/評価）</t>
        </is>
      </c>
      <c r="B6" s="23" t="inlineStr">
        <is>
          <t>SageMaker Processing</t>
        </is>
      </c>
      <c r="C6" s="23" t="inlineStr">
        <is>
          <t>インスタンス時間（USD/時間 × 実行時間 × 台数）</t>
        </is>
      </c>
      <c r="D6" s="23" t="inlineStr">
        <is>
          <t>前処理・評価はCPU/メモリ/I/Oを消費するため。ECRイメージロードなどの固定オーバーヘッドも時間に含まれる。</t>
        </is>
      </c>
      <c r="E6" s="23" t="inlineStr">
        <is>
          <t>入力!B19〜B23（時間）, 入力!B27（インスタンス）</t>
        </is>
      </c>
      <c r="F6" s="24" t="inlineStr">
        <is>
          <t>https://aws.amazon.com/sagemaker/ai/pricing/</t>
        </is>
      </c>
    </row>
    <row r="7">
      <c r="A7" s="23" t="inlineStr">
        <is>
          <t>再学習（学習）</t>
        </is>
      </c>
      <c r="B7" s="23" t="inlineStr">
        <is>
          <t>SageMaker Training</t>
        </is>
      </c>
      <c r="C7" s="23" t="inlineStr">
        <is>
          <t>インスタンス時間（USD/時間 × 実行時間 × 台数）</t>
        </is>
      </c>
      <c r="D7" s="23" t="inlineStr">
        <is>
          <t>モデル学習は計算資源を集中的に使用するため。分散学習では台数増によりコスト増。</t>
        </is>
      </c>
      <c r="E7" s="23" t="inlineStr">
        <is>
          <t>入力!B20（学習時間）, 入力!B28（インスタンス）</t>
        </is>
      </c>
      <c r="F7" s="24" t="inlineStr">
        <is>
          <t>https://aws.amazon.com/sagemaker/ai/pricing/</t>
        </is>
      </c>
    </row>
    <row r="8">
      <c r="A8" s="23" t="inlineStr">
        <is>
          <t>評価ゲート</t>
        </is>
      </c>
      <c r="B8" s="23" t="inlineStr">
        <is>
          <t>SageMaker Processing</t>
        </is>
      </c>
      <c r="C8" s="23" t="inlineStr">
        <is>
          <t>インスタンス時間</t>
        </is>
      </c>
      <c r="D8" s="23" t="inlineStr">
        <is>
          <t>精度指標算出・閾値判定を実行するため、計算ジョブとしてコストが発生する。</t>
        </is>
      </c>
      <c r="E8" s="23" t="inlineStr">
        <is>
          <t>入力!B21（評価時間）</t>
        </is>
      </c>
      <c r="F8" s="24" t="inlineStr">
        <is>
          <t>https://aws.amazon.com/sagemaker/ai/pricing/</t>
        </is>
      </c>
    </row>
    <row r="9">
      <c r="A9" s="23" t="inlineStr">
        <is>
          <t>ドリフト監視</t>
        </is>
      </c>
      <c r="B9" s="23" t="inlineStr">
        <is>
          <t>SageMaker Model Monitor（または自作Processing）</t>
        </is>
      </c>
      <c r="C9" s="23" t="inlineStr">
        <is>
          <t>監視ジョブのインスタンス時間（＋データ処理量）</t>
        </is>
      </c>
      <c r="D9" s="23" t="inlineStr">
        <is>
          <t>入力分布や予測品質の集計・統計判定を定期実行するため。監視頻度×対象数に比例して増える。</t>
        </is>
      </c>
      <c r="E9" s="23" t="inlineStr">
        <is>
          <t>入力!B35〜B38（監視設定）, 入力!B27（監視インスタンス）</t>
        </is>
      </c>
      <c r="F9" s="24" t="inlineStr">
        <is>
          <t>https://aws.amazon.com/sagemaker/ai/pricing/</t>
        </is>
      </c>
    </row>
    <row r="10">
      <c r="A10" s="23" t="inlineStr">
        <is>
          <t>推論（Serverless）</t>
        </is>
      </c>
      <c r="B10" s="23" t="inlineStr">
        <is>
          <t>SageMaker Serverless Inference</t>
        </is>
      </c>
      <c r="C10" s="23" t="inlineStr">
        <is>
          <t>実行時間（USD/秒）＋データ処理量（USD/GB）</t>
        </is>
      </c>
      <c r="D10" s="23" t="inlineStr">
        <is>
          <t>推論実行中のみ課金。入力/出力データ量にも従量課金。機能制約により監視は別設計が必要な場合あり。</t>
        </is>
      </c>
      <c r="E10" s="23" t="inlineStr">
        <is>
          <t>入力!B59〜B64（Serverless）</t>
        </is>
      </c>
      <c r="F10" s="24" t="inlineStr">
        <is>
          <t>https://docs.aws.amazon.com/sagemaker/latest/dg/serverless-endpoints.html</t>
        </is>
      </c>
    </row>
    <row r="11">
      <c r="A11" s="23" t="inlineStr">
        <is>
          <t>推論（Real-time）</t>
        </is>
      </c>
      <c r="B11" s="23" t="inlineStr">
        <is>
          <t>SageMaker Real-time Endpoint</t>
        </is>
      </c>
      <c r="C11" s="23" t="inlineStr">
        <is>
          <t>常時稼働インスタンス時間（USD/時間 × 730h × 台数）</t>
        </is>
      </c>
      <c r="D11" s="23" t="inlineStr">
        <is>
          <t>エンドポイントは常時起動のため、リクエストが少なくても固定費が発生。SLOが厳しい場合に適する。</t>
        </is>
      </c>
      <c r="E11" s="23" t="inlineStr">
        <is>
          <t>入力!B67〜B70（Real-time）</t>
        </is>
      </c>
      <c r="F11" s="24" t="inlineStr">
        <is>
          <t>https://aws.amazon.com/sagemaker/ai/pricing/</t>
        </is>
      </c>
    </row>
    <row r="12">
      <c r="A12" s="23" t="inlineStr">
        <is>
          <t>推論（Batch）</t>
        </is>
      </c>
      <c r="B12" s="23" t="inlineStr">
        <is>
          <t>SageMaker Batch Transform（またはBatch推論）</t>
        </is>
      </c>
      <c r="C12" s="23" t="inlineStr">
        <is>
          <t>ジョブ実行中のインスタンス時間</t>
        </is>
      </c>
      <c r="D12" s="23" t="inlineStr">
        <is>
          <t>指定時間帯にまとめて推論を実行するため、実行時間に応じて課金。常時エンドポイント不要。</t>
        </is>
      </c>
      <c r="E12" s="23" t="inlineStr">
        <is>
          <t>入力!B73〜B75（Batch）</t>
        </is>
      </c>
      <c r="F12" s="24" t="inlineStr">
        <is>
          <t>https://aws.amazon.com/sagemaker/ai/pricing/</t>
        </is>
      </c>
    </row>
    <row r="13">
      <c r="A13" s="23" t="inlineStr">
        <is>
          <t>再学習トリガー</t>
        </is>
      </c>
      <c r="B13" s="23" t="inlineStr">
        <is>
          <t>Amazon EventBridge</t>
        </is>
      </c>
      <c r="C13" s="23" t="inlineStr">
        <is>
          <t>呼び出し回数（100万回あたり）</t>
        </is>
      </c>
      <c r="D13" s="23" t="inlineStr">
        <is>
          <t>スケジュール/イベントでパイプラインを起動するたびに課金。一般に小さいが、実行回数に比例して増える。</t>
        </is>
      </c>
      <c r="E13" s="23" t="inlineStr">
        <is>
          <t>入力!B46〜B47（EventBridge）</t>
        </is>
      </c>
      <c r="F13" s="24" t="inlineStr">
        <is>
          <t>https://aws.amazon.com/eventbridge/pricing/</t>
        </is>
      </c>
    </row>
    <row r="14">
      <c r="A14" s="23" t="inlineStr">
        <is>
          <t>モデル成果物保管</t>
        </is>
      </c>
      <c r="B14" s="23" t="inlineStr">
        <is>
          <t>Amazon S3</t>
        </is>
      </c>
      <c r="C14" s="23" t="inlineStr">
        <is>
          <t>容量（GB-month）</t>
        </is>
      </c>
      <c r="D14" s="23" t="inlineStr">
        <is>
          <t>モデル成果物・評価結果などのファイル保管により容量課金。モデル数×サイズ×保持世代で増加。</t>
        </is>
      </c>
      <c r="E14" s="23" t="inlineStr">
        <is>
          <t>入力!B41〜B43（S3）</t>
        </is>
      </c>
      <c r="F14" s="24" t="inlineStr">
        <is>
          <t>https://aws.amazon.com/s3/pricing/</t>
        </is>
      </c>
    </row>
  </sheetData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</cols>
  <sheetData>
    <row r="1">
      <c r="A1" s="9" t="inlineStr">
        <is>
          <t>インスタンスタイプ</t>
        </is>
      </c>
      <c r="B1" s="9" t="inlineStr">
        <is>
          <t>単価（USD/時間）</t>
        </is>
      </c>
      <c r="C1" s="9" t="inlineStr">
        <is>
          <t>備考</t>
        </is>
      </c>
    </row>
    <row r="2">
      <c r="A2" s="10" t="inlineStr">
        <is>
          <t>ml.m5.large</t>
        </is>
      </c>
      <c r="B2" s="20" t="n">
        <v>0.115</v>
      </c>
      <c r="C2" s="10" t="inlineStr">
        <is>
          <t>汎用（バランス）。m5.xlargeの半分の規模。</t>
        </is>
      </c>
    </row>
    <row r="3">
      <c r="A3" s="10" t="inlineStr">
        <is>
          <t>ml.m5.xlarge</t>
        </is>
      </c>
      <c r="B3" s="20" t="n">
        <v>0.23</v>
      </c>
      <c r="C3" s="10" t="inlineStr">
        <is>
          <t>汎用（バランス）。CPU前提の学習/前処理の基準。</t>
        </is>
      </c>
    </row>
    <row r="4">
      <c r="A4" s="10" t="inlineStr">
        <is>
          <t>ml.m5.2xlarge</t>
        </is>
      </c>
      <c r="B4" s="20" t="n">
        <v>0.46</v>
      </c>
      <c r="C4" s="10" t="inlineStr">
        <is>
          <t>汎用。xlargeの約2倍リソース。</t>
        </is>
      </c>
    </row>
    <row r="5">
      <c r="A5" s="10" t="inlineStr">
        <is>
          <t>ml.m5.4xlarge</t>
        </is>
      </c>
      <c r="B5" s="20" t="n">
        <v>0.922</v>
      </c>
      <c r="C5" s="10" t="inlineStr">
        <is>
          <t>汎用。重めの監視ジョブ等の例。</t>
        </is>
      </c>
    </row>
    <row r="6">
      <c r="A6" s="10" t="inlineStr">
        <is>
          <t>ml.c5.large</t>
        </is>
      </c>
      <c r="B6" s="20" t="n">
        <v>0.102</v>
      </c>
      <c r="C6" s="10" t="inlineStr">
        <is>
          <t>計算最適化。CPUバウンド推論に向く。</t>
        </is>
      </c>
    </row>
    <row r="7">
      <c r="A7" s="10" t="inlineStr">
        <is>
          <t>ml.c5.xlarge</t>
        </is>
      </c>
      <c r="B7" s="20" t="n">
        <v>0.204</v>
      </c>
      <c r="C7" s="10" t="inlineStr">
        <is>
          <t>計算最適化。リアルタイム推論の基準例。</t>
        </is>
      </c>
    </row>
    <row r="8">
      <c r="A8" s="10" t="inlineStr">
        <is>
          <t>ml.c5.2xlarge</t>
        </is>
      </c>
      <c r="B8" s="20" t="n">
        <v>0.408</v>
      </c>
      <c r="C8" s="10" t="inlineStr">
        <is>
          <t>計算最適化。約2倍リソース。</t>
        </is>
      </c>
    </row>
    <row r="9">
      <c r="A9" s="10" t="inlineStr">
        <is>
          <t>ml.r5.xlarge</t>
        </is>
      </c>
      <c r="B9" s="20" t="n">
        <v>0.252</v>
      </c>
      <c r="C9" s="10" t="inlineStr">
        <is>
          <t>メモリ最適化。メモリ支配の処理に向く。</t>
        </is>
      </c>
    </row>
    <row r="10">
      <c r="A10" s="10" t="inlineStr">
        <is>
          <t>ml.r5.2xlarge</t>
        </is>
      </c>
      <c r="B10" s="20" t="n">
        <v>0.504</v>
      </c>
      <c r="C10" s="10" t="inlineStr">
        <is>
          <t>メモリ最適化。約2倍リソース。</t>
        </is>
      </c>
    </row>
    <row r="13">
      <c r="A13" s="9" t="inlineStr">
        <is>
          <t>Serverlessメモリ（GB）</t>
        </is>
      </c>
      <c r="B13" s="9" t="inlineStr">
        <is>
          <t>単価（USD/秒）</t>
        </is>
      </c>
      <c r="C13" s="9" t="inlineStr">
        <is>
          <t>備考</t>
        </is>
      </c>
    </row>
    <row r="14">
      <c r="A14" s="10" t="n">
        <v>1</v>
      </c>
      <c r="B14" s="21" t="n">
        <v>2e-05</v>
      </c>
      <c r="C14" s="10" t="inlineStr">
        <is>
          <t>仮置き。リージョン/プランに合わせて調整してください。</t>
        </is>
      </c>
    </row>
    <row r="15">
      <c r="A15" s="10" t="n">
        <v>2</v>
      </c>
      <c r="B15" s="21" t="n">
        <v>4e-05</v>
      </c>
      <c r="C15" s="10" t="inlineStr">
        <is>
          <t>2GBの代表例。必要に応じて調整してください。</t>
        </is>
      </c>
    </row>
    <row r="16">
      <c r="A16" s="10" t="n">
        <v>4</v>
      </c>
      <c r="B16" s="21" t="n">
        <v>8.000000000000001e-05</v>
      </c>
      <c r="C16" s="10" t="inlineStr">
        <is>
          <t>仮置き（線形スケール仮定）。</t>
        </is>
      </c>
    </row>
    <row r="17">
      <c r="A17" s="10" t="n">
        <v>6</v>
      </c>
      <c r="B17" s="21" t="n">
        <v>0.00012</v>
      </c>
      <c r="C17" s="10" t="inlineStr">
        <is>
          <t>仮置き（線形スケール仮定）。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</cols>
  <sheetData>
    <row r="1">
      <c r="A1" s="1" t="inlineStr">
        <is>
          <t>SageMaker MLOps コスト試算シミュレータ（us-east-1）— 入力</t>
        </is>
      </c>
    </row>
    <row r="2">
      <c r="A2" s="2" t="inlineStr">
        <is>
          <t>青色の文字セルは入力（変更可能）です。黒色の文字セルは計算式です。単位は列Cに記載しています。</t>
        </is>
      </c>
      <c r="B2" s="3" t="n"/>
      <c r="C2" s="3" t="n"/>
      <c r="D2" s="3" t="n"/>
      <c r="E2" s="3" t="n"/>
      <c r="F2" s="3" t="n"/>
    </row>
    <row r="4">
      <c r="A4" s="13" t="inlineStr">
        <is>
          <t>A. ユーザー数・モデル数（A/B/Cそれぞれ入力）</t>
        </is>
      </c>
      <c r="B4" s="14" t="n"/>
      <c r="C4" s="14" t="n"/>
      <c r="D4" s="14" t="n"/>
      <c r="E4" s="14" t="n"/>
      <c r="F4" s="14" t="n"/>
    </row>
    <row r="5">
      <c r="A5" s="8" t="inlineStr">
        <is>
          <t>リージョン（固定）</t>
        </is>
      </c>
      <c r="B5" s="26" t="inlineStr">
        <is>
          <t>us-east-1</t>
        </is>
      </c>
      <c r="C5" s="8" t="inlineStr">
        <is>
          <t>text</t>
        </is>
      </c>
    </row>
    <row r="6">
      <c r="A6" s="8" t="inlineStr">
        <is>
          <t>モデル数（M_A：A 個人モデル数）</t>
        </is>
      </c>
      <c r="B6" s="27">
        <f>B7</f>
        <v/>
      </c>
      <c r="C6" s="8" t="inlineStr">
        <is>
          <t>models</t>
        </is>
      </c>
      <c r="D6" s="8" t="inlineStr">
        <is>
          <t>既定：ユーザー数と同じ（上書き可）</t>
        </is>
      </c>
    </row>
    <row r="7">
      <c r="A7" s="8" t="inlineStr">
        <is>
          <t>ユーザー数（U）</t>
        </is>
      </c>
      <c r="B7" s="15" t="n">
        <v>100000</v>
      </c>
      <c r="C7" s="8" t="inlineStr">
        <is>
          <t>users</t>
        </is>
      </c>
    </row>
    <row r="8">
      <c r="A8" s="8" t="inlineStr">
        <is>
          <t>グループ数（G）※パターンBで使用</t>
        </is>
      </c>
      <c r="B8" s="15" t="n">
        <v>200</v>
      </c>
      <c r="C8" s="8" t="inlineStr">
        <is>
          <t>groups</t>
        </is>
      </c>
    </row>
    <row r="9">
      <c r="A9" s="8" t="inlineStr">
        <is>
          <t>モデル数（M_B：B グループモデル数）</t>
        </is>
      </c>
      <c r="B9" s="27">
        <f>B8</f>
        <v/>
      </c>
      <c r="C9" s="8" t="inlineStr">
        <is>
          <t>models</t>
        </is>
      </c>
      <c r="D9" t="inlineStr">
        <is>
          <t>既定：グループ数と同じ（上書き可）</t>
        </is>
      </c>
    </row>
    <row r="10">
      <c r="A10" t="inlineStr">
        <is>
          <t>モデル数（M_C：C 共通モデル数）</t>
        </is>
      </c>
      <c r="B10" s="28" t="n">
        <v>1</v>
      </c>
      <c r="C10" t="inlineStr">
        <is>
          <t>models</t>
        </is>
      </c>
      <c r="D10" t="inlineStr">
        <is>
          <t>既定：1（上書き可）</t>
        </is>
      </c>
    </row>
    <row r="11">
      <c r="A11" s="13" t="inlineStr">
        <is>
          <t>B. Retraining Frequency &amp; Job Overheads</t>
        </is>
      </c>
      <c r="B11" s="14" t="n"/>
      <c r="C11" s="14" t="n"/>
      <c r="D11" s="14" t="n"/>
      <c r="E11" s="14" t="n"/>
      <c r="F11" s="14" t="n"/>
    </row>
    <row r="12">
      <c r="A12" s="8" t="inlineStr">
        <is>
          <t>再学習サイクル頻度（月あたり）</t>
        </is>
      </c>
      <c r="B12" s="15" t="n">
        <v>1</v>
      </c>
      <c r="C12" s="8" t="inlineStr">
        <is>
          <t>cycles/month</t>
        </is>
      </c>
    </row>
    <row r="13">
      <c r="A13" s="8" t="inlineStr">
        <is>
          <t>追加再学習係数（ドリフト/アラート等）</t>
        </is>
      </c>
      <c r="B13" s="15" t="n">
        <v>0.2</v>
      </c>
      <c r="C13" s="8" t="inlineStr">
        <is>
          <t>fraction</t>
        </is>
      </c>
      <c r="D13" s="8" t="inlineStr">
        <is>
          <t>0.20 = +20%</t>
        </is>
      </c>
    </row>
    <row r="14">
      <c r="A14" s="8" t="inlineStr">
        <is>
          <t>合計再学習サイクル回数（R）（月あたり）</t>
        </is>
      </c>
      <c r="B14" s="8">
        <f>B12*(1+B13)</f>
        <v/>
      </c>
      <c r="C14" s="8" t="inlineStr">
        <is>
          <t>cycles/month</t>
        </is>
      </c>
    </row>
    <row r="15">
      <c r="A15" s="8" t="inlineStr">
        <is>
          <t>ECRイメージロード時間（Processing）</t>
        </is>
      </c>
      <c r="B15" s="15" t="n">
        <v>2</v>
      </c>
      <c r="C15" s="8" t="inlineStr">
        <is>
          <t>min/job</t>
        </is>
      </c>
    </row>
    <row r="16">
      <c r="A16" s="8" t="inlineStr">
        <is>
          <t>ECRイメージロード時間（Training）</t>
        </is>
      </c>
      <c r="B16" s="15" t="n">
        <v>3</v>
      </c>
      <c r="C16" s="8" t="inlineStr">
        <is>
          <t>min/job</t>
        </is>
      </c>
    </row>
    <row r="18">
      <c r="A18" s="13" t="inlineStr">
        <is>
          <t>C. 再学習時間（前処理は共通化、学習のみモデル数で変動）</t>
        </is>
      </c>
      <c r="B18" s="14" t="n"/>
      <c r="C18" s="14" t="n"/>
      <c r="D18" s="14" t="n"/>
      <c r="E18" s="14" t="n"/>
      <c r="F18" s="14" t="n"/>
    </row>
    <row r="19">
      <c r="A19" s="8" t="inlineStr">
        <is>
          <t>前処理時間（t_p）（共通：1サイクルあたり）</t>
        </is>
      </c>
      <c r="B19" s="15" t="n">
        <v>15</v>
      </c>
      <c r="C19" s="8" t="inlineStr">
        <is>
          <t>min/cycle</t>
        </is>
      </c>
    </row>
    <row r="20">
      <c r="A20" s="8" t="inlineStr">
        <is>
          <t>学習時間（t_t）（モデルあたり：1回の学習）</t>
        </is>
      </c>
      <c r="B20" s="15" t="n">
        <v>30</v>
      </c>
      <c r="C20" s="8" t="inlineStr">
        <is>
          <t>min/model/run</t>
        </is>
      </c>
    </row>
    <row r="21">
      <c r="A21" s="8" t="inlineStr">
        <is>
          <t>評価＋ゲート判定時間（t_e）（共通：1サイクルあたり）</t>
        </is>
      </c>
      <c r="B21" s="15" t="n">
        <v>10</v>
      </c>
      <c r="C21" s="8" t="inlineStr">
        <is>
          <t>min/cycle</t>
        </is>
      </c>
    </row>
    <row r="22">
      <c r="A22" s="8" t="inlineStr">
        <is>
          <t>Processing分（共通：前処理＋評価、ECR含む）</t>
        </is>
      </c>
      <c r="B22" s="8">
        <f>(B19+B15)+(B21+B15)</f>
        <v/>
      </c>
      <c r="C22" s="8" t="inlineStr">
        <is>
          <t>minutes</t>
        </is>
      </c>
    </row>
    <row r="23">
      <c r="A23" s="8" t="inlineStr">
        <is>
          <t>Training分（モデルあたり：学習、ECR含む）</t>
        </is>
      </c>
      <c r="B23" s="8">
        <f>B20+B16</f>
        <v/>
      </c>
      <c r="C23" s="8" t="inlineStr">
        <is>
          <t>minutes</t>
        </is>
      </c>
    </row>
    <row r="24">
      <c r="A24" s="8" t="inlineStr">
        <is>
          <t>（参考）1サイクルあたりのProcessing分＋Training分（モデルあたり）</t>
        </is>
      </c>
      <c r="B24" s="8">
        <f>B22+B23</f>
        <v/>
      </c>
      <c r="C24" s="8" t="inlineStr">
        <is>
          <t>minutes</t>
        </is>
      </c>
    </row>
    <row r="26">
      <c r="A26" s="13" t="inlineStr">
        <is>
          <t>D. インスタンス選定</t>
        </is>
      </c>
      <c r="B26" s="14" t="n"/>
      <c r="C26" s="14" t="n"/>
      <c r="D26" s="14" t="n"/>
      <c r="E26" s="14" t="n"/>
      <c r="F26" s="14" t="n"/>
    </row>
    <row r="27">
      <c r="A27" s="8" t="inlineStr">
        <is>
          <t>Processing用インスタンスタイプ（前処理/評価/監視）</t>
        </is>
      </c>
      <c r="B27" s="15" t="inlineStr">
        <is>
          <t>ml.m5.xlarge</t>
        </is>
      </c>
      <c r="C27" s="8" t="inlineStr">
        <is>
          <t>instance</t>
        </is>
      </c>
    </row>
    <row r="28">
      <c r="A28" s="8" t="inlineStr">
        <is>
          <t>Training用インスタンスタイプ</t>
        </is>
      </c>
      <c r="B28" s="15" t="inlineStr">
        <is>
          <t>ml.m5.xlarge</t>
        </is>
      </c>
      <c r="C28" s="8" t="inlineStr">
        <is>
          <t>instance</t>
        </is>
      </c>
    </row>
    <row r="29">
      <c r="A29" s="8" t="inlineStr">
        <is>
          <t>リアルタイムエンドポイント用インスタンスタイプ</t>
        </is>
      </c>
      <c r="B29" s="15" t="inlineStr">
        <is>
          <t>ml.c5.xlarge</t>
        </is>
      </c>
      <c r="C29" s="8" t="inlineStr">
        <is>
          <t>instance</t>
        </is>
      </c>
    </row>
    <row r="30">
      <c r="A30" s="8" t="inlineStr">
        <is>
          <t>バッチ推論用インスタンスタイプ</t>
        </is>
      </c>
      <c r="B30" s="15" t="inlineStr">
        <is>
          <t>ml.m5.xlarge</t>
        </is>
      </c>
      <c r="C30" s="8" t="inlineStr">
        <is>
          <t>instance</t>
        </is>
      </c>
    </row>
    <row r="32">
      <c r="A32" s="13" t="inlineStr">
        <is>
          <t>E. ドリフト監視（データ/モデル）</t>
        </is>
      </c>
      <c r="B32" s="14" t="n"/>
      <c r="C32" s="14" t="n"/>
      <c r="D32" s="14" t="n"/>
      <c r="E32" s="14" t="n"/>
      <c r="F32" s="14" t="n"/>
    </row>
    <row r="33">
      <c r="A33" s="8" t="inlineStr">
        <is>
          <t>監視の単位（エンティティ）</t>
        </is>
      </c>
      <c r="B33" s="15" t="inlineStr">
        <is>
          <t>PerEndpoint</t>
        </is>
      </c>
      <c r="C33" s="8" t="inlineStr">
        <is>
          <t>PerEndpoint/PerModel</t>
        </is>
      </c>
      <c r="D33" s="8" t="inlineStr">
        <is>
          <t>Serverless =&gt; custom monitoring recommended</t>
        </is>
      </c>
    </row>
    <row r="34">
      <c r="A34" s="8" t="inlineStr">
        <is>
          <t>エンドポイント数</t>
        </is>
      </c>
      <c r="B34" s="15" t="n">
        <v>1</v>
      </c>
      <c r="C34" s="8" t="inlineStr">
        <is>
          <t>endpoints</t>
        </is>
      </c>
    </row>
    <row r="35">
      <c r="A35" s="8" t="inlineStr">
        <is>
          <t>監視実行回数（月）</t>
        </is>
      </c>
      <c r="B35" s="15" t="n">
        <v>30</v>
      </c>
      <c r="C35" s="8" t="inlineStr">
        <is>
          <t>runs/month</t>
        </is>
      </c>
    </row>
    <row r="36">
      <c r="A36" s="8" t="inlineStr">
        <is>
          <t>監視ジョブ実行時間（オーバーヘッド除外）</t>
        </is>
      </c>
      <c r="B36" s="15" t="n">
        <v>5</v>
      </c>
      <c r="C36" s="8" t="inlineStr">
        <is>
          <t>min/run</t>
        </is>
      </c>
    </row>
    <row r="37">
      <c r="A37" s="8" t="inlineStr">
        <is>
          <t>監視分（オーバーヘッド込み）</t>
        </is>
      </c>
      <c r="B37" s="8">
        <f>B36+B15</f>
        <v/>
      </c>
      <c r="C37" s="8" t="inlineStr">
        <is>
          <t>min/run</t>
        </is>
      </c>
    </row>
    <row r="38">
      <c r="A38" s="8" t="inlineStr">
        <is>
          <t>監視対象数（参考：PerEndpoint時のみ）</t>
        </is>
      </c>
      <c r="B38" s="8">
        <f>IF(B33="PerEndpoint",B34,"")</f>
        <v/>
      </c>
      <c r="C38" s="8" t="inlineStr">
        <is>
          <t>entities</t>
        </is>
      </c>
    </row>
    <row r="40">
      <c r="A40" s="13" t="inlineStr">
        <is>
          <t>F. モデル保管/レジストリ（S3）</t>
        </is>
      </c>
      <c r="B40" s="14" t="n"/>
      <c r="C40" s="14" t="n"/>
      <c r="D40" s="14" t="n"/>
      <c r="E40" s="14" t="n"/>
      <c r="F40" s="14" t="n"/>
    </row>
    <row r="41">
      <c r="A41" s="8" t="inlineStr">
        <is>
          <t>モデル成果物サイズ</t>
        </is>
      </c>
      <c r="B41" s="15" t="n">
        <v>20</v>
      </c>
      <c r="C41" s="8" t="inlineStr">
        <is>
          <t>MB/model/version</t>
        </is>
      </c>
    </row>
    <row r="42">
      <c r="A42" s="8" t="inlineStr">
        <is>
          <t>保持バージョン数</t>
        </is>
      </c>
      <c r="B42" s="15" t="n">
        <v>6</v>
      </c>
      <c r="C42" s="8" t="inlineStr">
        <is>
          <t>versions</t>
        </is>
      </c>
    </row>
    <row r="43">
      <c r="A43" s="8" t="inlineStr">
        <is>
          <t>S3ストレージ単価</t>
        </is>
      </c>
      <c r="B43" s="15" t="n">
        <v>0.023</v>
      </c>
      <c r="C43" s="8" t="inlineStr">
        <is>
          <t>USD/GB-month</t>
        </is>
      </c>
      <c r="D43" s="8" t="inlineStr">
        <is>
          <t>Adjust if using different class/discount</t>
        </is>
      </c>
    </row>
    <row r="45">
      <c r="A45" s="13" t="inlineStr">
        <is>
          <t>G. 再学習トリガー（EventBridge）</t>
        </is>
      </c>
      <c r="B45" s="14" t="n"/>
      <c r="C45" s="14" t="n"/>
      <c r="D45" s="14" t="n"/>
      <c r="E45" s="14" t="n"/>
      <c r="F45" s="14" t="n"/>
    </row>
    <row r="46">
      <c r="A46" s="8" t="inlineStr">
        <is>
          <t>トリガー回数（月）</t>
        </is>
      </c>
      <c r="B46" s="15">
        <f>B14</f>
        <v/>
      </c>
      <c r="C46" s="8" t="inlineStr">
        <is>
          <t>events/month</t>
        </is>
      </c>
      <c r="D46" s="8" t="inlineStr">
        <is>
          <t>e.g., daily schedule</t>
        </is>
      </c>
    </row>
    <row r="47">
      <c r="A47" s="8" t="inlineStr">
        <is>
          <t>EventBridge単価</t>
        </is>
      </c>
      <c r="B47" s="15" t="n">
        <v>1</v>
      </c>
      <c r="C47" s="8" t="inlineStr">
        <is>
          <t>USD per 1M events</t>
        </is>
      </c>
    </row>
    <row r="49">
      <c r="A49" s="13" t="inlineStr">
        <is>
          <t>H. 推論ワークロードと方式</t>
        </is>
      </c>
      <c r="B49" s="14" t="n"/>
      <c r="C49" s="14" t="n"/>
      <c r="D49" s="14" t="n"/>
      <c r="E49" s="14" t="n"/>
      <c r="F49" s="14" t="n"/>
    </row>
    <row r="50">
      <c r="A50" s="8" t="inlineStr">
        <is>
          <t>月日数</t>
        </is>
      </c>
      <c r="B50" s="15" t="n">
        <v>30</v>
      </c>
      <c r="C50" s="8" t="inlineStr">
        <is>
          <t>days</t>
        </is>
      </c>
    </row>
    <row r="51">
      <c r="A51" s="8" t="inlineStr">
        <is>
          <t>イベント1：初乗車頻度</t>
        </is>
      </c>
      <c r="B51" s="15" t="n">
        <v>1</v>
      </c>
      <c r="C51" s="8" t="inlineStr">
        <is>
          <t>events/user/day</t>
        </is>
      </c>
    </row>
    <row r="52">
      <c r="A52" s="8" t="inlineStr">
        <is>
          <t>イベント2：充電前頻度</t>
        </is>
      </c>
      <c r="B52" s="15">
        <f>1/3</f>
        <v/>
      </c>
      <c r="C52" s="8" t="inlineStr">
        <is>
          <t>events/user/day</t>
        </is>
      </c>
    </row>
    <row r="53">
      <c r="A53" s="8" t="inlineStr">
        <is>
          <t>月間リクエスト数（イベント1）</t>
        </is>
      </c>
      <c r="B53" s="8">
        <f>B7*B51*B50</f>
        <v/>
      </c>
      <c r="C53" s="8" t="inlineStr">
        <is>
          <t>requests</t>
        </is>
      </c>
    </row>
    <row r="54">
      <c r="A54" s="8" t="inlineStr">
        <is>
          <t>月間リクエスト数（イベント2）</t>
        </is>
      </c>
      <c r="B54" s="8">
        <f>B7*B52*B50</f>
        <v/>
      </c>
      <c r="C54" s="8" t="inlineStr">
        <is>
          <t>requests</t>
        </is>
      </c>
    </row>
    <row r="55">
      <c r="A55" s="8" t="inlineStr">
        <is>
          <t>方式（イベント1）</t>
        </is>
      </c>
      <c r="B55" s="15" t="inlineStr">
        <is>
          <t>Serverless</t>
        </is>
      </c>
      <c r="C55" s="8" t="inlineStr">
        <is>
          <t>Serverless/Realtime/Batch</t>
        </is>
      </c>
    </row>
    <row r="56">
      <c r="A56" s="8" t="inlineStr">
        <is>
          <t>方式（イベント2）</t>
        </is>
      </c>
      <c r="B56" s="15" t="inlineStr">
        <is>
          <t>Serverless</t>
        </is>
      </c>
      <c r="C56" s="8" t="inlineStr">
        <is>
          <t>Serverless/Realtime/Batch</t>
        </is>
      </c>
    </row>
    <row r="58">
      <c r="A58" s="13" t="inlineStr">
        <is>
          <t>I. Serverless推論パラメータ</t>
        </is>
      </c>
      <c r="B58" s="14" t="n"/>
      <c r="C58" s="14" t="n"/>
      <c r="D58" s="14" t="n"/>
      <c r="E58" s="14" t="n"/>
      <c r="F58" s="14" t="n"/>
    </row>
    <row r="59">
      <c r="A59" s="8" t="inlineStr">
        <is>
          <t>Serverlessメモリ（GB）</t>
        </is>
      </c>
      <c r="B59" s="15" t="n">
        <v>2</v>
      </c>
      <c r="C59" s="8" t="inlineStr">
        <is>
          <t>GB</t>
        </is>
      </c>
    </row>
    <row r="60">
      <c r="A60" s="8" t="inlineStr">
        <is>
          <t>平均実行時間（1リクエスト）</t>
        </is>
      </c>
      <c r="B60" s="15" t="n">
        <v>100</v>
      </c>
      <c r="C60" s="8" t="inlineStr">
        <is>
          <t>ms</t>
        </is>
      </c>
    </row>
    <row r="61">
      <c r="A61" s="8" t="inlineStr">
        <is>
          <t>平均入力サイズ（1リクエスト）</t>
        </is>
      </c>
      <c r="B61" s="15" t="n">
        <v>20</v>
      </c>
      <c r="C61" s="8" t="inlineStr">
        <is>
          <t>KB</t>
        </is>
      </c>
    </row>
    <row r="62">
      <c r="A62" s="8" t="inlineStr">
        <is>
          <t>平均出力サイズ（1リクエスト）</t>
        </is>
      </c>
      <c r="B62" s="15" t="n">
        <v>2</v>
      </c>
      <c r="C62" s="8" t="inlineStr">
        <is>
          <t>KB</t>
        </is>
      </c>
    </row>
    <row r="63">
      <c r="A63" s="8" t="inlineStr">
        <is>
          <t>Serverless単価（秒）※参照</t>
        </is>
      </c>
      <c r="B63" s="8">
        <f>VLOOKUP(B59,単価!$A$14:$B$17,2,TRUE)</f>
        <v/>
      </c>
      <c r="C63" s="8" t="inlineStr">
        <is>
          <t>USD/sec</t>
        </is>
      </c>
    </row>
    <row r="64">
      <c r="A64" s="8" t="inlineStr">
        <is>
          <t>Serverlessデータ処理単価</t>
        </is>
      </c>
      <c r="B64" s="15" t="n">
        <v>0.016</v>
      </c>
      <c r="C64" s="8" t="inlineStr">
        <is>
          <t>USD/GB</t>
        </is>
      </c>
    </row>
    <row r="66">
      <c r="A66" s="13" t="inlineStr">
        <is>
          <t>J. リアルタイム推論パラメータ</t>
        </is>
      </c>
      <c r="B66" s="14" t="n"/>
      <c r="C66" s="14" t="n"/>
      <c r="D66" s="14" t="n"/>
      <c r="E66" s="14" t="n"/>
      <c r="F66" s="14" t="n"/>
    </row>
    <row r="67">
      <c r="A67" s="8" t="inlineStr">
        <is>
          <t>リアルタイム稼働台数（N）</t>
        </is>
      </c>
      <c r="B67" s="15" t="n">
        <v>2</v>
      </c>
      <c r="C67" s="8" t="inlineStr">
        <is>
          <t>instances</t>
        </is>
      </c>
      <c r="D67" s="8" t="inlineStr">
        <is>
          <t>Counted once even if both events use Realtime</t>
        </is>
      </c>
    </row>
    <row r="68">
      <c r="A68" s="8" t="inlineStr">
        <is>
          <t>月の稼働時間</t>
        </is>
      </c>
      <c r="B68" s="15" t="n">
        <v>730</v>
      </c>
      <c r="C68" s="8" t="inlineStr">
        <is>
          <t>hours</t>
        </is>
      </c>
    </row>
    <row r="69">
      <c r="A69" s="8" t="inlineStr">
        <is>
          <t>リアルタイム単価（時間）※参照</t>
        </is>
      </c>
      <c r="B69" s="8">
        <f>VLOOKUP(B29,単価!$A$2:$B$10,2,FALSE)</f>
        <v/>
      </c>
      <c r="C69" s="8" t="inlineStr">
        <is>
          <t>USD/hour</t>
        </is>
      </c>
    </row>
    <row r="70">
      <c r="A70" s="8" t="inlineStr">
        <is>
          <t>リアルタイムデータ処理単価</t>
        </is>
      </c>
      <c r="B70" s="15" t="n">
        <v>0.016</v>
      </c>
      <c r="C70" s="8" t="inlineStr">
        <is>
          <t>USD/GB</t>
        </is>
      </c>
    </row>
    <row r="72">
      <c r="A72" s="13" t="inlineStr">
        <is>
          <t>K. バッチ推論パラメータ</t>
        </is>
      </c>
      <c r="B72" s="14" t="n"/>
      <c r="C72" s="14" t="n"/>
      <c r="D72" s="14" t="n"/>
      <c r="E72" s="14" t="n"/>
      <c r="F72" s="14" t="n"/>
    </row>
    <row r="73">
      <c r="A73" s="8" t="inlineStr">
        <is>
          <t>バッチ実行回数（月）</t>
        </is>
      </c>
      <c r="B73" s="15" t="n">
        <v>30</v>
      </c>
      <c r="C73" s="8" t="inlineStr">
        <is>
          <t>runs/month</t>
        </is>
      </c>
    </row>
    <row r="74">
      <c r="A74" s="8" t="inlineStr">
        <is>
          <t>バッチ実行時間（1回）</t>
        </is>
      </c>
      <c r="B74" s="15" t="n">
        <v>2</v>
      </c>
      <c r="C74" s="8" t="inlineStr">
        <is>
          <t>hours/run</t>
        </is>
      </c>
    </row>
    <row r="75">
      <c r="A75" s="8" t="inlineStr">
        <is>
          <t>バッチ単価（時間）※参照</t>
        </is>
      </c>
      <c r="B75" s="8">
        <f>VLOOKUP(B30,単価!$A$2:$B$10,2,FALSE)</f>
        <v/>
      </c>
      <c r="C75" s="8" t="inlineStr">
        <is>
          <t>USD/hour</t>
        </is>
      </c>
    </row>
    <row r="77">
      <c r="A77" s="13" t="inlineStr">
        <is>
          <t>L. パターン別係数（任意）</t>
        </is>
      </c>
      <c r="B77" s="14" t="n"/>
      <c r="C77" s="14" t="n"/>
      <c r="D77" s="14" t="n"/>
      <c r="E77" s="14" t="n"/>
      <c r="F77" s="14" t="n"/>
    </row>
    <row r="78">
      <c r="A78" s="8" t="inlineStr">
        <is>
          <t>推論時間倍率（A）</t>
        </is>
      </c>
      <c r="B78" s="15" t="n">
        <v>1</v>
      </c>
      <c r="C78" s="8" t="inlineStr">
        <is>
          <t>x</t>
        </is>
      </c>
      <c r="D78" s="8" t="inlineStr">
        <is>
          <t>Use &gt;1 if per-user model switching increases latency</t>
        </is>
      </c>
    </row>
    <row r="79">
      <c r="A79" s="8" t="inlineStr">
        <is>
          <t>推論時間倍率（B）</t>
        </is>
      </c>
      <c r="B79" s="15" t="n">
        <v>1</v>
      </c>
      <c r="C79" s="8" t="inlineStr">
        <is>
          <t>x</t>
        </is>
      </c>
    </row>
    <row r="80">
      <c r="A80" s="8" t="inlineStr">
        <is>
          <t>推論時間倍率（C）</t>
        </is>
      </c>
      <c r="B80" s="15" t="n">
        <v>1</v>
      </c>
      <c r="C80" s="8" t="inlineStr">
        <is>
          <t>x</t>
        </is>
      </c>
    </row>
    <row r="82">
      <c r="A82" s="13" t="inlineStr">
        <is>
          <t>M. 運用設計（並列数・完了時間）※任意</t>
        </is>
      </c>
      <c r="B82" s="14" t="n"/>
      <c r="C82" s="14" t="n"/>
      <c r="D82" s="14" t="n"/>
      <c r="E82" s="14" t="n"/>
      <c r="F82" s="14" t="n"/>
    </row>
    <row r="83">
      <c r="A83" s="8" t="inlineStr">
        <is>
          <t>再学習パイプライン並列数（K）</t>
        </is>
      </c>
      <c r="B83" s="15" t="n">
        <v>20</v>
      </c>
      <c r="C83" s="8" t="inlineStr">
        <is>
          <t>pipelines</t>
        </is>
      </c>
      <c r="D83" s="8" t="inlineStr">
        <is>
          <t>How many model pipelines can run in parallel</t>
        </is>
      </c>
    </row>
    <row r="84">
      <c r="A84" s="8" t="inlineStr">
        <is>
          <t>再学習サイクル完了目標（時間）</t>
        </is>
      </c>
      <c r="B84" s="15" t="n">
        <v>8</v>
      </c>
      <c r="C84" s="8" t="inlineStr">
        <is>
          <t>hours</t>
        </is>
      </c>
    </row>
    <row r="85">
      <c r="A85" s="8" t="inlineStr">
        <is>
          <t>1モデルあたり壁時計時間（時間）</t>
        </is>
      </c>
      <c r="B85" s="8">
        <f>B24/60</f>
        <v/>
      </c>
      <c r="C85" s="8" t="inlineStr">
        <is>
          <t>hours</t>
        </is>
      </c>
    </row>
    <row r="86">
      <c r="A86" s="8" t="inlineStr">
        <is>
          <t>再学習サイクルの概算壁時計時間（選択パターン）</t>
        </is>
      </c>
      <c r="B86" s="8">
        <f>CEILING(B8/B83,1)*B85</f>
        <v/>
      </c>
      <c r="C86" s="8" t="inlineStr">
        <is>
          <t>hours</t>
        </is>
      </c>
    </row>
    <row r="87">
      <c r="A87" s="8" t="inlineStr">
        <is>
          <t>目標達成に必要なK（概算）</t>
        </is>
      </c>
      <c r="B87" s="8">
        <f>CEILING(B8*B85/B84,1)</f>
        <v/>
      </c>
      <c r="C87" s="8" t="inlineStr">
        <is>
          <t>pipelines</t>
        </is>
      </c>
    </row>
    <row r="88">
      <c r="A88" s="8" t="inlineStr">
        <is>
          <t>Note</t>
        </is>
      </c>
      <c r="B88" s="8" t="inlineStr">
        <is>
          <t>Parallelism mostly affects wall-clock; monthly cost is driven by total instance-hours.</t>
        </is>
      </c>
      <c r="C88" s="8" t="inlineStr">
        <is>
          <t>text</t>
        </is>
      </c>
    </row>
  </sheetData>
  <dataValidations count="4">
    <dataValidation sqref="B27:B30" showDropDown="0" showInputMessage="0" showErrorMessage="0" allowBlank="0" type="list">
      <formula1>単価!$A$2:$A$10</formula1>
    </dataValidation>
    <dataValidation sqref="B33" showDropDown="0" showInputMessage="0" showErrorMessage="0" allowBlank="0" type="list">
      <formula1>"PerEndpoint,PerModel"</formula1>
    </dataValidation>
    <dataValidation sqref="B55:B56" showDropDown="0" showInputMessage="0" showErrorMessage="0" allowBlank="0" type="list">
      <formula1>"Serverless,Realtime,Batch"</formula1>
    </dataValidation>
    <dataValidation sqref="B59" showDropDown="0" showInputMessage="0" showErrorMessage="0" allowBlank="0" type="list">
      <formula1>単価!$A$14:$A$17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使い方 / 注意点（日本語）</t>
        </is>
      </c>
    </row>
    <row r="3" ht="220" customHeight="1">
      <c r="A3" s="25" t="inlineStr">
        <is>
          <t>1) 「入力」シートの青文字セルを変更してください（頻度・時間・インスタンス・推論方式など）。
2) 「単価」シートは us-east-1 のオンデマンド単価を入力してください（必要に応じて行を追加）。
3) 「サマリー」で選択パターンの月額合計とA/B/C比較を確認できます。
重要な考え方：
- 再学習（Processing/Training）は「インスタンス単価 × 実行時間 × 台数」の合計が支配します。
- 並列数Kは主に『完了までの壁時計時間』に影響し、総インスタンス時間が同じならコストは大きく変わりません。
- 評価ゲート（精度判定）もProcessingとして実行するため、必ず計算コストが発生します。
- Serverless推論は安価ですが、SageMakerの一部機能（例：Model Monitor等）が利用不可のため、監視は自作（Processingで集計）へ寄せる設計が必要です。
参照（公式）：
- SageMaker AI Pricing: https://aws.amazon.com/sagemaker/ai/pricing/
- Serverless endpoints: https://docs.aws.amazon.com/sagemaker/latest/dg/serverless-endpoints.html
- EventBridge Pricing: https://aws.amazon.com/eventbridge/pricing/</t>
        </is>
      </c>
    </row>
    <row r="5">
      <c r="A5" s="18" t="inlineStr">
        <is>
          <t>1) Go to Inputs and adjust blue cells.
2) Instance hourly rates and serverless $/sec are in Pricing; update them for your exact us-east-1 prices.
3) Calc computes monthly costs for patterns A/B/C simultaneously.
4) Summary shows the selected pattern total and a side-by-side comparison.
Important modeling notes:
- Parallelism (job concurrency) primarily affects wall-clock completion time; cost is driven by total instance-hours.
- ECR image load overhead is modeled as extra minutes per Processing/Training job run.
- Serverless vs Realtime vs Batch inference can be mixed per event; Realtime and Batch base costs are counted once if used by any event.
- Add pattern-specific inference multipliers if per-user model selection increases latency (e.g., Multi-Model Endpoint caching misses).
Operational sizing section (Inputs→M) provides approximate wall-clock duration per retrain cycle and required concurrency 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0" customWidth="1" min="5" max="5"/>
    <col width="40" customWidth="1" min="6" max="6"/>
    <col width="44" customWidth="1" min="7" max="7"/>
  </cols>
  <sheetData>
    <row r="1">
      <c r="A1" s="17" t="inlineStr">
        <is>
          <t>詳細：再学習パイプライン（前処理→学習→評価/ゲート→デプロイ判定）</t>
        </is>
      </c>
    </row>
    <row r="3">
      <c r="A3" s="22" t="inlineStr">
        <is>
          <t>項目</t>
        </is>
      </c>
      <c r="B3" s="22" t="inlineStr">
        <is>
          <t>A（個人）</t>
        </is>
      </c>
      <c r="C3" s="22" t="inlineStr">
        <is>
          <t>B（グループ）</t>
        </is>
      </c>
      <c r="D3" s="22" t="inlineStr">
        <is>
          <t>C（共通）</t>
        </is>
      </c>
      <c r="E3" s="22" t="inlineStr">
        <is>
          <t>単位</t>
        </is>
      </c>
      <c r="F3" s="22" t="inlineStr">
        <is>
          <t>計算式/参照</t>
        </is>
      </c>
      <c r="G3" s="22" t="inlineStr">
        <is>
          <t>コストが発生する理由</t>
        </is>
      </c>
    </row>
    <row r="4">
      <c r="A4" s="23" t="inlineStr">
        <is>
          <t>モデル数 M</t>
        </is>
      </c>
      <c r="B4" s="23">
        <f>入力!B6</f>
        <v/>
      </c>
      <c r="C4" s="23">
        <f>入力!B9</f>
        <v/>
      </c>
      <c r="D4" s="23">
        <f>入力!B10</f>
        <v/>
      </c>
      <c r="E4" s="23" t="inlineStr">
        <is>
          <t>models</t>
        </is>
      </c>
      <c r="F4" s="23" t="inlineStr">
        <is>
          <t>入力シートの定義</t>
        </is>
      </c>
      <c r="G4" s="23" t="inlineStr">
        <is>
          <t>モデル数に比例して再学習ジョブ数が増えるため</t>
        </is>
      </c>
    </row>
    <row r="5">
      <c r="A5" s="23" t="inlineStr">
        <is>
          <t>再学習サイクル回数 R（月あたり）</t>
        </is>
      </c>
      <c r="B5" s="23">
        <f>入力!B14</f>
        <v/>
      </c>
      <c r="C5" s="23">
        <f>入力!B14</f>
        <v/>
      </c>
      <c r="D5" s="23">
        <f>入力!B14</f>
        <v/>
      </c>
      <c r="E5" s="23" t="inlineStr">
        <is>
          <t>cycles/month</t>
        </is>
      </c>
      <c r="F5" s="23" t="inlineStr">
        <is>
          <t>入力!B14</t>
        </is>
      </c>
      <c r="G5" s="23" t="inlineStr">
        <is>
          <t>頻度が高いほど、同じ処理を繰り返すためコストが増える</t>
        </is>
      </c>
    </row>
    <row r="6">
      <c r="A6" s="23" t="inlineStr">
        <is>
          <t>Processing分（共通：前処理＋評価、ECR含む）</t>
        </is>
      </c>
      <c r="B6" s="23">
        <f>入力!B22</f>
        <v/>
      </c>
      <c r="C6" s="23">
        <f>入力!B22</f>
        <v/>
      </c>
      <c r="D6" s="23">
        <f>入力!B22</f>
        <v/>
      </c>
      <c r="E6" s="23" t="inlineStr">
        <is>
          <t>min/cycle</t>
        </is>
      </c>
      <c r="F6" s="23" t="inlineStr">
        <is>
          <t>入力!B22</t>
        </is>
      </c>
      <c r="G6" s="23" t="inlineStr">
        <is>
          <t>Processingはインスタンス時間課金。ECRロード等の固定時間も含まれる</t>
        </is>
      </c>
    </row>
    <row r="7">
      <c r="A7" s="23" t="inlineStr">
        <is>
          <t>Training分（モデルあたり：学習、ECR含む）</t>
        </is>
      </c>
      <c r="B7" s="23">
        <f>入力!B23</f>
        <v/>
      </c>
      <c r="C7" s="23">
        <f>入力!B23</f>
        <v/>
      </c>
      <c r="D7" s="23">
        <f>入力!B23</f>
        <v/>
      </c>
      <c r="E7" s="23" t="inlineStr">
        <is>
          <t>min/model/run</t>
        </is>
      </c>
      <c r="F7" s="23" t="inlineStr">
        <is>
          <t>入力!B23</t>
        </is>
      </c>
      <c r="G7" s="23" t="inlineStr">
        <is>
          <t>Trainingはインスタンス時間課金。学習時間が長いほどコスト増</t>
        </is>
      </c>
    </row>
    <row r="8">
      <c r="A8" s="23" t="inlineStr">
        <is>
          <t>Processing インスタンス</t>
        </is>
      </c>
      <c r="B8" s="23">
        <f>入力!B27</f>
        <v/>
      </c>
      <c r="C8" s="23">
        <f>入力!B27</f>
        <v/>
      </c>
      <c r="D8" s="23">
        <f>入力!B27</f>
        <v/>
      </c>
      <c r="E8" s="23" t="inlineStr">
        <is>
          <t>instance</t>
        </is>
      </c>
      <c r="F8" s="23" t="inlineStr">
        <is>
          <t>入力!B27</t>
        </is>
      </c>
      <c r="G8" s="23" t="inlineStr">
        <is>
          <t>インスタンス単価（USD/時間）がコストに直結</t>
        </is>
      </c>
    </row>
    <row r="9">
      <c r="A9" s="23" t="inlineStr">
        <is>
          <t>Training インスタンス</t>
        </is>
      </c>
      <c r="B9" s="23">
        <f>入力!B28</f>
        <v/>
      </c>
      <c r="C9" s="23">
        <f>入力!B28</f>
        <v/>
      </c>
      <c r="D9" s="23">
        <f>入力!B28</f>
        <v/>
      </c>
      <c r="E9" s="23" t="inlineStr">
        <is>
          <t>instance</t>
        </is>
      </c>
      <c r="F9" s="23" t="inlineStr">
        <is>
          <t>入力!B28</t>
        </is>
      </c>
      <c r="G9" s="23" t="inlineStr">
        <is>
          <t>同上</t>
        </is>
      </c>
    </row>
    <row r="10">
      <c r="A10" s="23" t="inlineStr">
        <is>
          <t>Processing 単価（USD/時間）</t>
        </is>
      </c>
      <c r="B10" s="23">
        <f>VLOOKUP(入力!B27,単価!$A$2:$B$10,2,FALSE)</f>
        <v/>
      </c>
      <c r="C10" s="23">
        <f>VLOOKUP(入力!B27,単価!$A$2:$B$10,2,FALSE)</f>
        <v/>
      </c>
      <c r="D10" s="23">
        <f>VLOOKUP(入力!B27,単価!$A$2:$B$10,2,FALSE)</f>
        <v/>
      </c>
      <c r="E10" s="23" t="inlineStr">
        <is>
          <t>USD/hour</t>
        </is>
      </c>
      <c r="F10" s="23" t="inlineStr">
        <is>
          <t>単価シート参照</t>
        </is>
      </c>
      <c r="G10" s="23" t="inlineStr"/>
    </row>
    <row r="11">
      <c r="A11" s="23" t="inlineStr">
        <is>
          <t>Training 単価（USD/時間）</t>
        </is>
      </c>
      <c r="B11" s="23">
        <f>VLOOKUP(入力!B28,単価!$A$2:$B$10,2,FALSE)</f>
        <v/>
      </c>
      <c r="C11" s="23">
        <f>VLOOKUP(入力!B28,単価!$A$2:$B$10,2,FALSE)</f>
        <v/>
      </c>
      <c r="D11" s="23">
        <f>VLOOKUP(入力!B28,単価!$A$2:$B$10,2,FALSE)</f>
        <v/>
      </c>
      <c r="E11" s="23" t="inlineStr">
        <is>
          <t>USD/hour</t>
        </is>
      </c>
      <c r="F11" s="23" t="inlineStr">
        <is>
          <t>単価シート参照</t>
        </is>
      </c>
      <c r="G11" s="23" t="inlineStr"/>
    </row>
    <row r="12">
      <c r="A12" s="23" t="inlineStr">
        <is>
          <t>月額：Processing（共通前処理＋評価）</t>
        </is>
      </c>
      <c r="B12" s="23">
        <f>B5*(B6/60)*B10</f>
        <v/>
      </c>
      <c r="C12" s="23">
        <f>C5*(C6/60)*C10</f>
        <v/>
      </c>
      <c r="D12" s="23">
        <f>D5*(D6/60)*D10</f>
        <v/>
      </c>
      <c r="E12" s="23" t="inlineStr">
        <is>
          <t>USD/month</t>
        </is>
      </c>
      <c r="F12" s="23" t="inlineStr">
        <is>
          <t>M×R×(proc_min/60)×proc_rate</t>
        </is>
      </c>
      <c r="G12" s="23" t="inlineStr">
        <is>
          <t>前処理・評価の計算資源利用時間に課金</t>
        </is>
      </c>
    </row>
    <row r="13">
      <c r="A13" s="23" t="inlineStr">
        <is>
          <t>月額：Training（モデル数に比例）</t>
        </is>
      </c>
      <c r="B13" s="23">
        <f>B4*B5*(B7/60)*B11</f>
        <v/>
      </c>
      <c r="C13" s="23">
        <f>C4*C5*(C7/60)*C11</f>
        <v/>
      </c>
      <c r="D13" s="23">
        <f>D4*D5*(D7/60)*D11</f>
        <v/>
      </c>
      <c r="E13" s="23" t="inlineStr">
        <is>
          <t>USD/month</t>
        </is>
      </c>
      <c r="F13" s="23" t="inlineStr">
        <is>
          <t>M×R×(train_min/60)×train_rate</t>
        </is>
      </c>
      <c r="G13" s="23" t="inlineStr">
        <is>
          <t>学習ジョブの計算資源利用時間に課金</t>
        </is>
      </c>
    </row>
    <row r="14">
      <c r="A14" s="23" t="inlineStr">
        <is>
          <t>月額：再学習合計（Processing+Training）</t>
        </is>
      </c>
      <c r="B14" s="23">
        <f>B12+B13</f>
        <v/>
      </c>
      <c r="C14" s="23">
        <f>C12+C13</f>
        <v/>
      </c>
      <c r="D14" s="23">
        <f>D12+D13</f>
        <v/>
      </c>
      <c r="E14" s="23" t="inlineStr">
        <is>
          <t>USD/month</t>
        </is>
      </c>
      <c r="F14" s="23" t="inlineStr">
        <is>
          <t>上記合計</t>
        </is>
      </c>
      <c r="G14" s="23" t="inlineStr">
        <is>
          <t>再学習パイプラインの月額支配項</t>
        </is>
      </c>
    </row>
    <row r="15">
      <c r="A15" s="23" t="inlineStr">
        <is>
          <t>壁時計時間（共通Processing：1サイクル）</t>
        </is>
      </c>
      <c r="B15" s="23">
        <f>入力!B22/60</f>
        <v/>
      </c>
      <c r="C15" s="23">
        <f>入力!B22/60</f>
        <v/>
      </c>
      <c r="D15" s="23">
        <f>入力!B22/60</f>
        <v/>
      </c>
      <c r="E15" s="23" t="inlineStr">
        <is>
          <t>hours/cycle</t>
        </is>
      </c>
      <c r="F15" s="23" t="inlineStr">
        <is>
          <t>入力!B85</t>
        </is>
      </c>
      <c r="G15" s="23" t="inlineStr">
        <is>
          <t>運用（完了時間）設計に影響。コストではなく所要時間の目安</t>
        </is>
      </c>
    </row>
    <row r="16">
      <c r="A16" s="23" t="inlineStr">
        <is>
          <t>並列数 K（同時Trainingジョブ数）</t>
        </is>
      </c>
      <c r="B16" s="23">
        <f>入力!B83</f>
        <v/>
      </c>
      <c r="C16" s="23">
        <f>入力!B83</f>
        <v/>
      </c>
      <c r="D16" s="23">
        <f>入力!B83</f>
        <v/>
      </c>
      <c r="E16" s="23" t="inlineStr">
        <is>
          <t>jobs</t>
        </is>
      </c>
      <c r="F16" s="23" t="inlineStr">
        <is>
          <t>入力!B83</t>
        </is>
      </c>
      <c r="G16" s="23" t="inlineStr">
        <is>
          <t>並列数を増やすと完了は早くなるが、総インスタンス時間が同じならコストは概ね不変</t>
        </is>
      </c>
    </row>
    <row r="17">
      <c r="A17" s="23" t="inlineStr">
        <is>
          <t>概算壁時計（1サイクル）=Processing + CEILING(M/K)*Training</t>
        </is>
      </c>
      <c r="B17" s="23">
        <f>B15+CEILING(B4/B16,1)*(入力!B23/60)</f>
        <v/>
      </c>
      <c r="C17" s="23">
        <f>C15+CEILING(C4/C16,1)*(入力!B23/60)</f>
        <v/>
      </c>
      <c r="D17" s="23">
        <f>D15+CEILING(D4/D16,1)*(入力!B23/60)</f>
        <v/>
      </c>
      <c r="E17" s="23" t="inlineStr">
        <is>
          <t>hours/cycle</t>
        </is>
      </c>
      <c r="F17" s="23" t="inlineStr">
        <is>
          <t>CEILING(M/K)*wall_clock_per_model</t>
        </is>
      </c>
      <c r="G17" s="23" t="inlineStr">
        <is>
          <t>運用上の締切（夜間バッチ等）を満たせるかの確認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0" customWidth="1" min="5" max="5"/>
    <col width="40" customWidth="1" min="6" max="6"/>
    <col width="44" customWidth="1" min="7" max="7"/>
  </cols>
  <sheetData>
    <row r="1">
      <c r="A1" s="17" t="inlineStr">
        <is>
          <t>詳細：ドリフト監視（データドリフト/モデル品質劣化）</t>
        </is>
      </c>
    </row>
    <row r="3">
      <c r="A3" s="22" t="inlineStr">
        <is>
          <t>項目</t>
        </is>
      </c>
      <c r="B3" s="22" t="inlineStr">
        <is>
          <t>A（個人）</t>
        </is>
      </c>
      <c r="C3" s="22" t="inlineStr">
        <is>
          <t>B（グループ）</t>
        </is>
      </c>
      <c r="D3" s="22" t="inlineStr">
        <is>
          <t>C（共通）</t>
        </is>
      </c>
      <c r="E3" s="22" t="inlineStr">
        <is>
          <t>単位</t>
        </is>
      </c>
      <c r="F3" s="22" t="inlineStr">
        <is>
          <t>計算式/参照</t>
        </is>
      </c>
      <c r="G3" s="22" t="inlineStr">
        <is>
          <t>コストが発生する理由</t>
        </is>
      </c>
    </row>
    <row r="4">
      <c r="A4" s="23" t="inlineStr">
        <is>
          <t>監視単位（PerEndpoint / PerModel）</t>
        </is>
      </c>
      <c r="B4" s="23">
        <f>入力!B33</f>
        <v/>
      </c>
      <c r="C4" s="23">
        <f>入力!B33</f>
        <v/>
      </c>
      <c r="D4" s="23">
        <f>入力!B33</f>
        <v/>
      </c>
      <c r="E4" s="23" t="inlineStr">
        <is>
          <t>text</t>
        </is>
      </c>
      <c r="F4" s="23" t="inlineStr">
        <is>
          <t>入力!B33</t>
        </is>
      </c>
      <c r="G4" s="23" t="inlineStr">
        <is>
          <t>監視対象数（エンティティ）が変わり、費用に影響</t>
        </is>
      </c>
    </row>
    <row r="5">
      <c r="A5" s="23" t="inlineStr">
        <is>
          <t>監視対象数（エンティティ）</t>
        </is>
      </c>
      <c r="B5" s="23">
        <f>IF(入力!B33="PerModel",入力!B6,入力!B34)</f>
        <v/>
      </c>
      <c r="C5" s="23">
        <f>IF(入力!B33="PerModel",入力!B9,入力!B34)</f>
        <v/>
      </c>
      <c r="D5" s="23">
        <f>IF(入力!B33="PerModel",入力!B10,入力!B34)</f>
        <v/>
      </c>
      <c r="E5" s="23" t="inlineStr">
        <is>
          <t>entities</t>
        </is>
      </c>
      <c r="F5" s="23" t="inlineStr">
        <is>
          <t>PerModelならモデル数、PerEndpointならエンドポイント数</t>
        </is>
      </c>
      <c r="G5" s="23" t="inlineStr">
        <is>
          <t>対象数に比例して監視ジョブが増える（設計次第）</t>
        </is>
      </c>
    </row>
    <row r="6">
      <c r="A6" s="23" t="inlineStr">
        <is>
          <t>監視回数（月）</t>
        </is>
      </c>
      <c r="B6" s="23">
        <f>入力!B35</f>
        <v/>
      </c>
      <c r="C6" s="23">
        <f>入力!B35</f>
        <v/>
      </c>
      <c r="D6" s="23">
        <f>入力!B35</f>
        <v/>
      </c>
      <c r="E6" s="23" t="inlineStr">
        <is>
          <t>runs/month</t>
        </is>
      </c>
      <c r="F6" s="23" t="inlineStr">
        <is>
          <t>入力!B35</t>
        </is>
      </c>
      <c r="G6" s="23" t="inlineStr">
        <is>
          <t>頻度に比例してコスト増</t>
        </is>
      </c>
    </row>
    <row r="7">
      <c r="A7" s="23" t="inlineStr">
        <is>
          <t>監視分（オーバーヘッド込み）</t>
        </is>
      </c>
      <c r="B7" s="23">
        <f>入力!B37</f>
        <v/>
      </c>
      <c r="C7" s="23">
        <f>入力!B37</f>
        <v/>
      </c>
      <c r="D7" s="23">
        <f>入力!B37</f>
        <v/>
      </c>
      <c r="E7" s="23" t="inlineStr">
        <is>
          <t>min/run</t>
        </is>
      </c>
      <c r="F7" s="23" t="inlineStr">
        <is>
          <t>入力!B37</t>
        </is>
      </c>
      <c r="G7" s="23" t="inlineStr">
        <is>
          <t>監視はProcessing相当の計算ジョブ</t>
        </is>
      </c>
    </row>
    <row r="8">
      <c r="A8" s="23" t="inlineStr">
        <is>
          <t>監視インスタンス</t>
        </is>
      </c>
      <c r="B8" s="23">
        <f>入力!B27</f>
        <v/>
      </c>
      <c r="C8" s="23">
        <f>入力!B27</f>
        <v/>
      </c>
      <c r="D8" s="23">
        <f>入力!B27</f>
        <v/>
      </c>
      <c r="E8" s="23" t="inlineStr">
        <is>
          <t>instance</t>
        </is>
      </c>
      <c r="F8" s="23" t="inlineStr">
        <is>
          <t>入力!B27</t>
        </is>
      </c>
      <c r="G8" s="23" t="inlineStr">
        <is>
          <t>単価がコストに直結</t>
        </is>
      </c>
    </row>
    <row r="9">
      <c r="A9" s="23" t="inlineStr">
        <is>
          <t>監視単価（USD/時間）</t>
        </is>
      </c>
      <c r="B9" s="23">
        <f>VLOOKUP(入力!B27,単価!$A$2:$B$10,2,FALSE)</f>
        <v/>
      </c>
      <c r="C9" s="23">
        <f>VLOOKUP(入力!B27,単価!$A$2:$B$10,2,FALSE)</f>
        <v/>
      </c>
      <c r="D9" s="23">
        <f>VLOOKUP(入力!B27,単価!$A$2:$B$10,2,FALSE)</f>
        <v/>
      </c>
      <c r="E9" s="23" t="inlineStr">
        <is>
          <t>USD/hour</t>
        </is>
      </c>
      <c r="F9" s="23" t="inlineStr">
        <is>
          <t>単価参照</t>
        </is>
      </c>
      <c r="G9" s="23" t="inlineStr"/>
    </row>
    <row r="10">
      <c r="A10" s="23" t="inlineStr">
        <is>
          <t>月額：ドリフト監視</t>
        </is>
      </c>
      <c r="B10" s="23">
        <f>B5*B6*(B7/60)*B8</f>
        <v/>
      </c>
      <c r="C10" s="23">
        <f>C5*C6*(C7/60)*C8</f>
        <v/>
      </c>
      <c r="D10" s="23">
        <f>D5*D6*(D7/60)*D8</f>
        <v/>
      </c>
      <c r="E10" s="23" t="inlineStr">
        <is>
          <t>USD/month</t>
        </is>
      </c>
      <c r="F10" s="23" t="inlineStr">
        <is>
          <t>entities×runs×(min/60)×rate</t>
        </is>
      </c>
      <c r="G10" s="23" t="inlineStr">
        <is>
          <t>監視ジョブのインスタンス時間課金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0" customWidth="1" min="5" max="5"/>
    <col width="40" customWidth="1" min="6" max="6"/>
    <col width="44" customWidth="1" min="7" max="7"/>
  </cols>
  <sheetData>
    <row r="1">
      <c r="A1" s="17" t="inlineStr">
        <is>
          <t>詳細：再学習トリガー（EventBridge）</t>
        </is>
      </c>
    </row>
    <row r="3">
      <c r="A3" s="22" t="inlineStr">
        <is>
          <t>項目</t>
        </is>
      </c>
      <c r="B3" s="22" t="inlineStr">
        <is>
          <t>A（個人）</t>
        </is>
      </c>
      <c r="C3" s="22" t="inlineStr">
        <is>
          <t>B（グループ）</t>
        </is>
      </c>
      <c r="D3" s="22" t="inlineStr">
        <is>
          <t>C（共通）</t>
        </is>
      </c>
      <c r="E3" s="22" t="inlineStr">
        <is>
          <t>単位</t>
        </is>
      </c>
      <c r="F3" s="22" t="inlineStr">
        <is>
          <t>計算式/参照</t>
        </is>
      </c>
      <c r="G3" s="22" t="inlineStr">
        <is>
          <t>コストが発生する理由</t>
        </is>
      </c>
    </row>
    <row r="4">
      <c r="A4" s="23" t="inlineStr">
        <is>
          <t>トリガー回数（月）</t>
        </is>
      </c>
      <c r="B4" s="23">
        <f>入力!B46</f>
        <v/>
      </c>
      <c r="C4" s="23">
        <f>入力!B46</f>
        <v/>
      </c>
      <c r="D4" s="23">
        <f>入力!B46</f>
        <v/>
      </c>
      <c r="E4" s="23" t="inlineStr">
        <is>
          <t>events/month</t>
        </is>
      </c>
      <c r="F4" s="23" t="inlineStr">
        <is>
          <t>入力!B46</t>
        </is>
      </c>
      <c r="G4" s="23" t="inlineStr">
        <is>
          <t>スケジュール/イベントで再学習起動するたびに課金</t>
        </is>
      </c>
    </row>
    <row r="5">
      <c r="A5" s="23" t="inlineStr">
        <is>
          <t>EventBridge単価（USD/100万イベント）</t>
        </is>
      </c>
      <c r="B5" s="23">
        <f>入力!B47</f>
        <v/>
      </c>
      <c r="C5" s="23">
        <f>入力!B47</f>
        <v/>
      </c>
      <c r="D5" s="23">
        <f>入力!B47</f>
        <v/>
      </c>
      <c r="E5" s="23" t="inlineStr">
        <is>
          <t>USD/1M</t>
        </is>
      </c>
      <c r="F5" s="23" t="inlineStr">
        <is>
          <t>入力!B47</t>
        </is>
      </c>
      <c r="G5" s="23" t="inlineStr"/>
    </row>
    <row r="6">
      <c r="A6" s="23" t="inlineStr">
        <is>
          <t>月額：トリガー（EventBridge）</t>
        </is>
      </c>
      <c r="B6" s="23">
        <f>B4/1000000*B5</f>
        <v/>
      </c>
      <c r="C6" s="23">
        <f>C4/1000000*C5</f>
        <v/>
      </c>
      <c r="D6" s="23">
        <f>D4/1000000*D5</f>
        <v/>
      </c>
      <c r="E6" s="23" t="inlineStr">
        <is>
          <t>USD/month</t>
        </is>
      </c>
      <c r="F6" s="23" t="inlineStr">
        <is>
          <t>M×events_per_model ÷1e6 × price</t>
        </is>
      </c>
      <c r="G6" s="23" t="inlineStr">
        <is>
          <t>通常は小さいが、Aで頻度が高いと増える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0" customWidth="1" min="5" max="5"/>
    <col width="40" customWidth="1" min="6" max="6"/>
    <col width="44" customWidth="1" min="7" max="7"/>
  </cols>
  <sheetData>
    <row r="1">
      <c r="A1" s="17" t="inlineStr">
        <is>
          <t>詳細：モデル成果物の保管（S3）/ レジストリ（メタデータ）</t>
        </is>
      </c>
    </row>
    <row r="3">
      <c r="A3" s="22" t="inlineStr">
        <is>
          <t>項目</t>
        </is>
      </c>
      <c r="B3" s="22" t="inlineStr">
        <is>
          <t>A（個人）</t>
        </is>
      </c>
      <c r="C3" s="22" t="inlineStr">
        <is>
          <t>B（グループ）</t>
        </is>
      </c>
      <c r="D3" s="22" t="inlineStr">
        <is>
          <t>C（共通）</t>
        </is>
      </c>
      <c r="E3" s="22" t="inlineStr">
        <is>
          <t>単位</t>
        </is>
      </c>
      <c r="F3" s="22" t="inlineStr">
        <is>
          <t>計算式/参照</t>
        </is>
      </c>
      <c r="G3" s="22" t="inlineStr">
        <is>
          <t>コストが発生する理由</t>
        </is>
      </c>
    </row>
    <row r="4">
      <c r="A4" s="23" t="inlineStr">
        <is>
          <t>モデル成果物サイズ</t>
        </is>
      </c>
      <c r="B4" s="23">
        <f>入力!B41</f>
        <v/>
      </c>
      <c r="C4" s="23">
        <f>入力!B41</f>
        <v/>
      </c>
      <c r="D4" s="23">
        <f>入力!B41</f>
        <v/>
      </c>
      <c r="E4" s="23" t="inlineStr">
        <is>
          <t>MB/model/version</t>
        </is>
      </c>
      <c r="F4" s="23" t="inlineStr">
        <is>
          <t>入力!B41</t>
        </is>
      </c>
      <c r="G4" s="23" t="inlineStr">
        <is>
          <t>モデル数×サイズ×保持世代で容量課金が増える</t>
        </is>
      </c>
    </row>
    <row r="5">
      <c r="A5" s="23" t="inlineStr">
        <is>
          <t>保持バージョン数</t>
        </is>
      </c>
      <c r="B5" s="23">
        <f>入力!B42</f>
        <v/>
      </c>
      <c r="C5" s="23">
        <f>入力!B42</f>
        <v/>
      </c>
      <c r="D5" s="23">
        <f>入力!B42</f>
        <v/>
      </c>
      <c r="E5" s="23" t="inlineStr">
        <is>
          <t>versions</t>
        </is>
      </c>
      <c r="F5" s="23" t="inlineStr">
        <is>
          <t>入力!B42</t>
        </is>
      </c>
      <c r="G5" s="23" t="inlineStr">
        <is>
          <t>ロールバックや監査要件で保持を増やすとコスト増</t>
        </is>
      </c>
    </row>
    <row r="6">
      <c r="A6" s="23" t="inlineStr">
        <is>
          <t>S3単価</t>
        </is>
      </c>
      <c r="B6" s="23">
        <f>入力!B43</f>
        <v/>
      </c>
      <c r="C6" s="23">
        <f>入力!B43</f>
        <v/>
      </c>
      <c r="D6" s="23">
        <f>入力!B43</f>
        <v/>
      </c>
      <c r="E6" s="23" t="inlineStr">
        <is>
          <t>USD/GB-month</t>
        </is>
      </c>
      <c r="F6" s="23" t="inlineStr">
        <is>
          <t>入力!B43</t>
        </is>
      </c>
      <c r="G6" s="23" t="inlineStr">
        <is>
          <t>ストレージ容量課金</t>
        </is>
      </c>
    </row>
    <row r="7">
      <c r="A7" s="23" t="inlineStr">
        <is>
          <t>月額：モデル保管（S3）</t>
        </is>
      </c>
      <c r="B7" s="23">
        <f>入力!B6*B4*B5/1024*B6</f>
        <v/>
      </c>
      <c r="C7" s="23">
        <f>入力!B9*C4*C5/1024*C6</f>
        <v/>
      </c>
      <c r="D7" s="23">
        <f>入力!B10*D4*D5/1024*D6</f>
        <v/>
      </c>
      <c r="E7" s="23" t="inlineStr">
        <is>
          <t>USD/month</t>
        </is>
      </c>
      <c r="F7" s="23" t="inlineStr">
        <is>
          <t>M×sizeMB×versions ÷1024 × price</t>
        </is>
      </c>
      <c r="G7" s="23" t="inlineStr">
        <is>
          <t>S3容量課金（GB-month）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0" customWidth="1" min="5" max="5"/>
    <col width="44" customWidth="1" min="6" max="6"/>
    <col width="44" customWidth="1" min="7" max="7"/>
  </cols>
  <sheetData>
    <row r="1">
      <c r="A1" s="17" t="inlineStr">
        <is>
          <t>詳細：推論コスト（イベント別・方式別）</t>
        </is>
      </c>
    </row>
    <row r="3">
      <c r="A3" s="22" t="inlineStr">
        <is>
          <t>項目</t>
        </is>
      </c>
      <c r="B3" s="22" t="inlineStr">
        <is>
          <t>A（個人）</t>
        </is>
      </c>
      <c r="C3" s="22" t="inlineStr">
        <is>
          <t>B（グループ）</t>
        </is>
      </c>
      <c r="D3" s="22" t="inlineStr">
        <is>
          <t>C（共通）</t>
        </is>
      </c>
      <c r="E3" s="22" t="inlineStr">
        <is>
          <t>単位</t>
        </is>
      </c>
      <c r="F3" s="22" t="inlineStr">
        <is>
          <t>計算式/参照</t>
        </is>
      </c>
      <c r="G3" s="22" t="inlineStr">
        <is>
          <t>コストが発生する理由</t>
        </is>
      </c>
    </row>
    <row r="4">
      <c r="A4" s="23" t="inlineStr">
        <is>
          <t>月間リクエスト（イベント1:初乗車）</t>
        </is>
      </c>
      <c r="B4" s="23">
        <f>入力!B53</f>
        <v/>
      </c>
      <c r="C4" s="23">
        <f>入力!B53</f>
        <v/>
      </c>
      <c r="D4" s="23">
        <f>入力!B53</f>
        <v/>
      </c>
      <c r="E4" s="23" t="inlineStr">
        <is>
          <t>req/month</t>
        </is>
      </c>
      <c r="F4" s="23" t="inlineStr">
        <is>
          <t>入力!B53</t>
        </is>
      </c>
      <c r="G4" s="23" t="inlineStr">
        <is>
          <t>ユーザー数×頻度に比例</t>
        </is>
      </c>
    </row>
    <row r="5">
      <c r="A5" s="23" t="inlineStr">
        <is>
          <t>月間リクエスト（イベント2:充電前）</t>
        </is>
      </c>
      <c r="B5" s="23">
        <f>入力!B54</f>
        <v/>
      </c>
      <c r="C5" s="23">
        <f>入力!B54</f>
        <v/>
      </c>
      <c r="D5" s="23">
        <f>入力!B54</f>
        <v/>
      </c>
      <c r="E5" s="23" t="inlineStr">
        <is>
          <t>req/month</t>
        </is>
      </c>
      <c r="F5" s="23" t="inlineStr">
        <is>
          <t>入力!B54</t>
        </is>
      </c>
      <c r="G5" s="23" t="inlineStr">
        <is>
          <t>同上</t>
        </is>
      </c>
    </row>
    <row r="6">
      <c r="A6" s="23" t="inlineStr">
        <is>
          <t>方式（イベント1）</t>
        </is>
      </c>
      <c r="B6" s="23">
        <f>入力!B55</f>
        <v/>
      </c>
      <c r="C6" s="23">
        <f>入力!B55</f>
        <v/>
      </c>
      <c r="D6" s="23">
        <f>入力!B55</f>
        <v/>
      </c>
      <c r="E6" s="23" t="inlineStr">
        <is>
          <t>text</t>
        </is>
      </c>
      <c r="F6" s="23" t="inlineStr">
        <is>
          <t>入力!B55</t>
        </is>
      </c>
      <c r="G6" s="23" t="inlineStr">
        <is>
          <t>方式により課金モデルが異なる（Serverless/Realtime/Batch）</t>
        </is>
      </c>
    </row>
    <row r="7">
      <c r="A7" s="23" t="inlineStr">
        <is>
          <t>方式（イベント2）</t>
        </is>
      </c>
      <c r="B7" s="23">
        <f>入力!B56</f>
        <v/>
      </c>
      <c r="C7" s="23">
        <f>入力!B56</f>
        <v/>
      </c>
      <c r="D7" s="23">
        <f>入力!B56</f>
        <v/>
      </c>
      <c r="E7" s="23" t="inlineStr">
        <is>
          <t>text</t>
        </is>
      </c>
      <c r="F7" s="23" t="inlineStr">
        <is>
          <t>入力!B56</t>
        </is>
      </c>
      <c r="G7" s="23" t="inlineStr">
        <is>
          <t>同上</t>
        </is>
      </c>
    </row>
    <row r="8">
      <c r="A8" s="23" t="inlineStr">
        <is>
          <t>Serverless 平均実行時間</t>
        </is>
      </c>
      <c r="B8" s="23">
        <f>入力!B60</f>
        <v/>
      </c>
      <c r="C8" s="23">
        <f>入力!B60</f>
        <v/>
      </c>
      <c r="D8" s="23">
        <f>入力!B60</f>
        <v/>
      </c>
      <c r="E8" s="23" t="inlineStr">
        <is>
          <t>ms</t>
        </is>
      </c>
      <c r="F8" s="23" t="inlineStr">
        <is>
          <t>入力!B60</t>
        </is>
      </c>
      <c r="G8" s="23" t="inlineStr">
        <is>
          <t>実行時間（秒）に従量課金</t>
        </is>
      </c>
    </row>
    <row r="9">
      <c r="A9" s="23" t="inlineStr">
        <is>
          <t>推論時間倍率（A/B/C）</t>
        </is>
      </c>
      <c r="B9" s="23">
        <f>入力!B78</f>
        <v/>
      </c>
      <c r="C9" s="23">
        <f>入力!B79</f>
        <v/>
      </c>
      <c r="D9" s="23">
        <f>入力!B80</f>
        <v/>
      </c>
      <c r="E9" s="23" t="inlineStr">
        <is>
          <t>x</t>
        </is>
      </c>
      <c r="F9" s="23" t="inlineStr">
        <is>
          <t>入力!B78〜B80</t>
        </is>
      </c>
      <c r="G9" s="23" t="inlineStr">
        <is>
          <t>MME等で遅くなる場合の補正（任意）</t>
        </is>
      </c>
    </row>
    <row r="10">
      <c r="A10" s="23" t="inlineStr">
        <is>
          <t>Serverless 単価（USD/秒）</t>
        </is>
      </c>
      <c r="B10" s="23">
        <f>入力!B63</f>
        <v/>
      </c>
      <c r="C10" s="23">
        <f>入力!B63</f>
        <v/>
      </c>
      <c r="D10" s="23">
        <f>入力!B63</f>
        <v/>
      </c>
      <c r="E10" s="23" t="inlineStr">
        <is>
          <t>USD/sec</t>
        </is>
      </c>
      <c r="F10" s="23" t="inlineStr">
        <is>
          <t>入力!B63</t>
        </is>
      </c>
      <c r="G10" s="23" t="inlineStr"/>
    </row>
    <row r="11">
      <c r="A11" s="23" t="inlineStr">
        <is>
          <t>Serverless データ単価（USD/GB）</t>
        </is>
      </c>
      <c r="B11" s="23">
        <f>入力!B64</f>
        <v/>
      </c>
      <c r="C11" s="23">
        <f>入力!B64</f>
        <v/>
      </c>
      <c r="D11" s="23">
        <f>入力!B64</f>
        <v/>
      </c>
      <c r="E11" s="23" t="inlineStr">
        <is>
          <t>USD/GB</t>
        </is>
      </c>
      <c r="F11" s="23" t="inlineStr">
        <is>
          <t>入力!B64</t>
        </is>
      </c>
      <c r="G11" s="23" t="inlineStr">
        <is>
          <t>入出力データ量に従量課金</t>
        </is>
      </c>
    </row>
    <row r="12">
      <c r="A12" s="23" t="inlineStr">
        <is>
          <t>データサイズ（IN+OUT）</t>
        </is>
      </c>
      <c r="B12" s="23">
        <f>(入力!B61+入力!B62)</f>
        <v/>
      </c>
      <c r="C12" s="23">
        <f>(入力!B61+入力!B62)</f>
        <v/>
      </c>
      <c r="D12" s="23">
        <f>(入力!B61+入力!B62)</f>
        <v/>
      </c>
      <c r="E12" s="23" t="inlineStr">
        <is>
          <t>KB/req</t>
        </is>
      </c>
      <c r="F12" s="23" t="inlineStr">
        <is>
          <t>入力!B61,B62</t>
        </is>
      </c>
      <c r="G12" s="23" t="inlineStr"/>
    </row>
    <row r="13">
      <c r="A13" s="23" t="inlineStr">
        <is>
          <t>月額：Serverless（計算）</t>
        </is>
      </c>
      <c r="B13" s="23">
        <f>((IF(入力!B55="Serverless",入力!B53,0)+IF(入力!B56="Serverless",入力!B54,0))*(入力!B60/1000)*B9*B10)</f>
        <v/>
      </c>
      <c r="C13" s="23">
        <f>((IF(入力!B55="Serverless",入力!B53,0)+IF(入力!B56="Serverless",入力!B54,0))*(入力!B60/1000)*C9*C10)</f>
        <v/>
      </c>
      <c r="D13" s="23">
        <f>((IF(入力!B55="Serverless",入力!B53,0)+IF(入力!B56="Serverless",入力!B54,0))*(入力!B60/1000)*D9*D10)</f>
        <v/>
      </c>
      <c r="E13" s="23" t="inlineStr">
        <is>
          <t>USD/month</t>
        </is>
      </c>
      <c r="F13" s="23" t="inlineStr">
        <is>
          <t>req×sec×mult×price_sec</t>
        </is>
      </c>
      <c r="G13" s="23" t="inlineStr">
        <is>
          <t>Serverlessは実行時間課金（リクエスト数と実行時間に比例）</t>
        </is>
      </c>
    </row>
    <row r="14">
      <c r="A14" s="23" t="inlineStr">
        <is>
          <t>月額：Serverless（データ）</t>
        </is>
      </c>
      <c r="B14" s="23">
        <f>((IF(入力!B55="Serverless",入力!B53,0)+IF(入力!B56="Serverless",入力!B54,0))*B11/1024/1024)*B12</f>
        <v/>
      </c>
      <c r="C14" s="23">
        <f>((IF(入力!B55="Serverless",入力!B53,0)+IF(入力!B56="Serverless",入力!B54,0))*C11/1024/1024)*C12</f>
        <v/>
      </c>
      <c r="D14" s="23">
        <f>((IF(入力!B55="Serverless",入力!B53,0)+IF(入力!B56="Serverless",入力!B54,0))*D11/1024/1024)*D12</f>
        <v/>
      </c>
      <c r="E14" s="23" t="inlineStr">
        <is>
          <t>USD/month</t>
        </is>
      </c>
      <c r="F14" s="23" t="inlineStr">
        <is>
          <t>req×KB→GB×price_GB</t>
        </is>
      </c>
      <c r="G14" s="23" t="inlineStr">
        <is>
          <t>入出力データ量課金</t>
        </is>
      </c>
    </row>
    <row r="15">
      <c r="A15" s="23" t="inlineStr">
        <is>
          <t>リアルタイム稼働台数 N</t>
        </is>
      </c>
      <c r="B15" s="23">
        <f>入力!B67</f>
        <v/>
      </c>
      <c r="C15" s="23">
        <f>入力!B67</f>
        <v/>
      </c>
      <c r="D15" s="23">
        <f>入力!B67</f>
        <v/>
      </c>
      <c r="E15" s="23" t="inlineStr">
        <is>
          <t>instances</t>
        </is>
      </c>
      <c r="F15" s="23" t="inlineStr">
        <is>
          <t>入力!B67</t>
        </is>
      </c>
      <c r="G15" s="23" t="inlineStr">
        <is>
          <t>冗長化やSLO要件で台数が増える</t>
        </is>
      </c>
    </row>
    <row r="16">
      <c r="A16" s="23" t="inlineStr">
        <is>
          <t>月稼働時間</t>
        </is>
      </c>
      <c r="B16" s="23">
        <f>入力!B68</f>
        <v/>
      </c>
      <c r="C16" s="23">
        <f>入力!B68</f>
        <v/>
      </c>
      <c r="D16" s="23">
        <f>入力!B68</f>
        <v/>
      </c>
      <c r="E16" s="23" t="inlineStr">
        <is>
          <t>hours</t>
        </is>
      </c>
      <c r="F16" s="23" t="inlineStr">
        <is>
          <t>入力!B68</t>
        </is>
      </c>
      <c r="G16" s="23" t="inlineStr">
        <is>
          <t>常時起動の固定費</t>
        </is>
      </c>
    </row>
    <row r="17">
      <c r="A17" s="23" t="inlineStr">
        <is>
          <t>リアルタイム単価（USD/時間）</t>
        </is>
      </c>
      <c r="B17" s="23">
        <f>入力!B69</f>
        <v/>
      </c>
      <c r="C17" s="23">
        <f>入力!B69</f>
        <v/>
      </c>
      <c r="D17" s="23">
        <f>入力!B69</f>
        <v/>
      </c>
      <c r="E17" s="23" t="inlineStr">
        <is>
          <t>USD/hour</t>
        </is>
      </c>
      <c r="F17" s="23" t="inlineStr">
        <is>
          <t>入力!B69</t>
        </is>
      </c>
      <c r="G17" s="23" t="inlineStr"/>
    </row>
    <row r="18">
      <c r="A18" s="23" t="inlineStr">
        <is>
          <t>月額：リアルタイム（固定費）</t>
        </is>
      </c>
      <c r="B18" s="23">
        <f>IF(OR(入力!B55="Realtime",入力!B56="Realtime"),入力!B67*入力!B68*入力!B69,0)</f>
        <v/>
      </c>
      <c r="C18" s="23">
        <f>IF(OR(入力!B55="Realtime",入力!B56="Realtime"),入力!B67*入力!B68*入力!B69,0)</f>
        <v/>
      </c>
      <c r="D18" s="23">
        <f>IF(OR(入力!B55="Realtime",入力!B56="Realtime"),入力!B67*入力!B68*入力!B69,0)</f>
        <v/>
      </c>
      <c r="E18" s="23" t="inlineStr">
        <is>
          <t>USD/month</t>
        </is>
      </c>
      <c r="F18" s="23" t="inlineStr">
        <is>
          <t>N×730×rate（選択時のみ）</t>
        </is>
      </c>
      <c r="G18" s="23" t="inlineStr">
        <is>
          <t>Realtimeは常時起動のためリクエスト数が少なくても課金</t>
        </is>
      </c>
    </row>
    <row r="19">
      <c r="A19" s="23" t="inlineStr">
        <is>
          <t>バッチ実行回数（月）</t>
        </is>
      </c>
      <c r="B19" s="23">
        <f>入力!B73</f>
        <v/>
      </c>
      <c r="C19" s="23">
        <f>入力!B73</f>
        <v/>
      </c>
      <c r="D19" s="23">
        <f>入力!B73</f>
        <v/>
      </c>
      <c r="E19" s="23" t="inlineStr">
        <is>
          <t>runs/month</t>
        </is>
      </c>
      <c r="F19" s="23" t="inlineStr">
        <is>
          <t>入力!B73</t>
        </is>
      </c>
      <c r="G19" s="23" t="inlineStr">
        <is>
          <t>まとめて推論する回数</t>
        </is>
      </c>
    </row>
    <row r="20">
      <c r="A20" s="23" t="inlineStr">
        <is>
          <t>バッチ実行時間（1回）</t>
        </is>
      </c>
      <c r="B20" s="23">
        <f>入力!B74</f>
        <v/>
      </c>
      <c r="C20" s="23">
        <f>入力!B74</f>
        <v/>
      </c>
      <c r="D20" s="23">
        <f>入力!B74</f>
        <v/>
      </c>
      <c r="E20" s="23" t="inlineStr">
        <is>
          <t>hours/run</t>
        </is>
      </c>
      <c r="F20" s="23" t="inlineStr">
        <is>
          <t>入力!B74</t>
        </is>
      </c>
      <c r="G20" s="23" t="inlineStr"/>
    </row>
    <row r="21">
      <c r="A21" s="23" t="inlineStr">
        <is>
          <t>バッチ単価（USD/時間）</t>
        </is>
      </c>
      <c r="B21" s="23">
        <f>入力!B75</f>
        <v/>
      </c>
      <c r="C21" s="23">
        <f>入力!B75</f>
        <v/>
      </c>
      <c r="D21" s="23">
        <f>入力!B75</f>
        <v/>
      </c>
      <c r="E21" s="23" t="inlineStr">
        <is>
          <t>USD/hour</t>
        </is>
      </c>
      <c r="F21" s="23" t="inlineStr">
        <is>
          <t>入力!B75</t>
        </is>
      </c>
      <c r="G21" s="23" t="inlineStr"/>
    </row>
    <row r="22">
      <c r="A22" s="23" t="inlineStr">
        <is>
          <t>月額：バッチ（固定費）</t>
        </is>
      </c>
      <c r="B22" s="23">
        <f>IF(OR(入力!B55="Batch",入力!B56="Batch"),入力!B73*入力!B74*入力!B75,0)</f>
        <v/>
      </c>
      <c r="C22" s="23">
        <f>IF(OR(入力!B55="Batch",入力!B56="Batch"),入力!B73*入力!B74*入力!B75,0)</f>
        <v/>
      </c>
      <c r="D22" s="23">
        <f>IF(OR(入力!B55="Batch",入力!B56="Batch"),入力!B73*入力!B74*入力!B75,0)</f>
        <v/>
      </c>
      <c r="E22" s="23" t="inlineStr">
        <is>
          <t>USD/month</t>
        </is>
      </c>
      <c r="F22" s="23" t="inlineStr">
        <is>
          <t>runs×hours×rate（選択時のみ）</t>
        </is>
      </c>
      <c r="G22" s="23" t="inlineStr">
        <is>
          <t>Batchはジョブ実行中のみ課金。常時エンドポイント不要</t>
        </is>
      </c>
    </row>
    <row r="23">
      <c r="A23" s="23" t="inlineStr">
        <is>
          <t>月額：推論合計（Serverless + Realtime + Batch）</t>
        </is>
      </c>
      <c r="B23" s="23">
        <f>B13+B14+B18+B22</f>
        <v/>
      </c>
      <c r="C23" s="23">
        <f>C13+C14+C18+C22</f>
        <v/>
      </c>
      <c r="D23" s="23">
        <f>D13+D14+D18+D22</f>
        <v/>
      </c>
      <c r="E23" s="23" t="inlineStr">
        <is>
          <t>USD/month</t>
        </is>
      </c>
      <c r="F23" s="23" t="inlineStr">
        <is>
          <t>上記合計</t>
        </is>
      </c>
      <c r="G23" s="23" t="inlineStr">
        <is>
          <t>推論方式の組合せにより総額が変わる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2026-01-07T10:49:00Z</dcterms:created>
  <dcterms:modified xmlns:dcterms="http://purl.org/dc/terms/" xmlns:xsi="http://www.w3.org/2001/XMLSchema-instance" xsi:type="dcterms:W3CDTF">2026-01-07T14:23:31Z</dcterms:modified>
</cp:coreProperties>
</file>